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  <sheet name="Products" sheetId="2" state="visible" r:id="rId4"/>
    <sheet name="Targets" sheetId="3" state="visible" r:id="rId5"/>
    <sheet name="README" sheetId="4" state="visible" r:id="rId6"/>
  </sheets>
  <definedNames>
    <definedName function="false" hidden="true" localSheetId="0" name="_xlnm._FilterDatabase" vbProcedure="false">Orders!$A$1:$O$1331</definedName>
    <definedName function="false" hidden="true" localSheetId="2" name="_xlnm._FilterDatabase" vbProcedure="false">Targets!$A$1:$H$31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Discount off list price. Partner orders carry +10 pp, capped at 30%.</t>
        </r>
      </text>
    </comment>
  </commentList>
</comments>
</file>

<file path=xl/sharedStrings.xml><?xml version="1.0" encoding="utf-8"?>
<sst xmlns="http://schemas.openxmlformats.org/spreadsheetml/2006/main" count="8106" uniqueCount="1427">
  <si>
    <t xml:space="preserve">Order ID</t>
  </si>
  <si>
    <t xml:space="preserve">Order Date</t>
  </si>
  <si>
    <t xml:space="preserve">Region</t>
  </si>
  <si>
    <t xml:space="preserve">Country</t>
  </si>
  <si>
    <t xml:space="preserve">Product ID</t>
  </si>
  <si>
    <t xml:space="preserve">Product</t>
  </si>
  <si>
    <t xml:space="preserve">Category</t>
  </si>
  <si>
    <t xml:space="preserve">Units</t>
  </si>
  <si>
    <t xml:space="preserve">Unit Price (EUR)</t>
  </si>
  <si>
    <t xml:space="preserve">Discount %</t>
  </si>
  <si>
    <t xml:space="preserve">Revenue (EUR)</t>
  </si>
  <si>
    <t xml:space="preserve">Cost (EUR)</t>
  </si>
  <si>
    <t xml:space="preserve">Gross Margin (EUR)</t>
  </si>
  <si>
    <t xml:space="preserve">Channel</t>
  </si>
  <si>
    <t xml:space="preserve">Sales Rep</t>
  </si>
  <si>
    <t xml:space="preserve">SO-25001</t>
  </si>
  <si>
    <t xml:space="preserve">Western Europe</t>
  </si>
  <si>
    <t xml:space="preserve">Spain</t>
  </si>
  <si>
    <t xml:space="preserve">P-110</t>
  </si>
  <si>
    <t xml:space="preserve">Partner</t>
  </si>
  <si>
    <t xml:space="preserve">Marc Dubois</t>
  </si>
  <si>
    <t xml:space="preserve">SO-25002</t>
  </si>
  <si>
    <t xml:space="preserve">France</t>
  </si>
  <si>
    <t xml:space="preserve">P-100</t>
  </si>
  <si>
    <t xml:space="preserve">SO-25003</t>
  </si>
  <si>
    <t xml:space="preserve">Italy</t>
  </si>
  <si>
    <t xml:space="preserve">P-200</t>
  </si>
  <si>
    <t xml:space="preserve">SO-25004</t>
  </si>
  <si>
    <t xml:space="preserve">Direct</t>
  </si>
  <si>
    <t xml:space="preserve">SO-25005</t>
  </si>
  <si>
    <t xml:space="preserve">Asia Pacific</t>
  </si>
  <si>
    <t xml:space="preserve">Japan</t>
  </si>
  <si>
    <t xml:space="preserve">P-210</t>
  </si>
  <si>
    <t xml:space="preserve">Priya Nair</t>
  </si>
  <si>
    <t xml:space="preserve">SO-25006</t>
  </si>
  <si>
    <t xml:space="preserve">Portugal</t>
  </si>
  <si>
    <t xml:space="preserve">Lucia Romero</t>
  </si>
  <si>
    <t xml:space="preserve">SO-25007</t>
  </si>
  <si>
    <t xml:space="preserve">Online</t>
  </si>
  <si>
    <t xml:space="preserve">SO-25008</t>
  </si>
  <si>
    <t xml:space="preserve">SO-25009</t>
  </si>
  <si>
    <t xml:space="preserve">North America</t>
  </si>
  <si>
    <t xml:space="preserve">United States</t>
  </si>
  <si>
    <t xml:space="preserve">Emily Carter</t>
  </si>
  <si>
    <t xml:space="preserve">SO-25010</t>
  </si>
  <si>
    <t xml:space="preserve">SO-25011</t>
  </si>
  <si>
    <t xml:space="preserve">SO-25012</t>
  </si>
  <si>
    <t xml:space="preserve">Central Europe</t>
  </si>
  <si>
    <t xml:space="preserve">Austria</t>
  </si>
  <si>
    <t xml:space="preserve">P-400</t>
  </si>
  <si>
    <t xml:space="preserve">Anna Nowak</t>
  </si>
  <si>
    <t xml:space="preserve">SO-25013</t>
  </si>
  <si>
    <t xml:space="preserve">Ryan Brooks</t>
  </si>
  <si>
    <t xml:space="preserve">SO-25014</t>
  </si>
  <si>
    <t xml:space="preserve">SO-25015</t>
  </si>
  <si>
    <t xml:space="preserve">Germany</t>
  </si>
  <si>
    <t xml:space="preserve">SO-25016</t>
  </si>
  <si>
    <t xml:space="preserve">P-120</t>
  </si>
  <si>
    <t xml:space="preserve">SO-25017</t>
  </si>
  <si>
    <t xml:space="preserve">Latin America</t>
  </si>
  <si>
    <t xml:space="preserve">Chile</t>
  </si>
  <si>
    <t xml:space="preserve">P-300</t>
  </si>
  <si>
    <t xml:space="preserve">Diego Alvarez</t>
  </si>
  <si>
    <t xml:space="preserve">SO-25018</t>
  </si>
  <si>
    <t xml:space="preserve">Kenji Sato</t>
  </si>
  <si>
    <t xml:space="preserve">SO-25019</t>
  </si>
  <si>
    <t xml:space="preserve">Canada</t>
  </si>
  <si>
    <t xml:space="preserve">SO-25020</t>
  </si>
  <si>
    <t xml:space="preserve">P-310</t>
  </si>
  <si>
    <t xml:space="preserve">SO-25021</t>
  </si>
  <si>
    <t xml:space="preserve">SO-25022</t>
  </si>
  <si>
    <t xml:space="preserve">Poland</t>
  </si>
  <si>
    <t xml:space="preserve">Jonas Weber</t>
  </si>
  <si>
    <t xml:space="preserve">SO-25023</t>
  </si>
  <si>
    <t xml:space="preserve">SO-25024</t>
  </si>
  <si>
    <t xml:space="preserve">SO-25025</t>
  </si>
  <si>
    <t xml:space="preserve">SO-25026</t>
  </si>
  <si>
    <t xml:space="preserve">Singapore</t>
  </si>
  <si>
    <t xml:space="preserve">SO-25027</t>
  </si>
  <si>
    <t xml:space="preserve">SO-25028</t>
  </si>
  <si>
    <t xml:space="preserve">SO-25029</t>
  </si>
  <si>
    <t xml:space="preserve">SO-25030</t>
  </si>
  <si>
    <t xml:space="preserve">SO-25031</t>
  </si>
  <si>
    <t xml:space="preserve">SO-25032</t>
  </si>
  <si>
    <t xml:space="preserve">SO-25033</t>
  </si>
  <si>
    <t xml:space="preserve">SO-25034</t>
  </si>
  <si>
    <t xml:space="preserve">SO-25035</t>
  </si>
  <si>
    <t xml:space="preserve">SO-25036</t>
  </si>
  <si>
    <t xml:space="preserve">SO-25037</t>
  </si>
  <si>
    <t xml:space="preserve">SO-25038</t>
  </si>
  <si>
    <t xml:space="preserve">SO-25039</t>
  </si>
  <si>
    <t xml:space="preserve">Mexico</t>
  </si>
  <si>
    <t xml:space="preserve">SO-25040</t>
  </si>
  <si>
    <t xml:space="preserve">SO-25041</t>
  </si>
  <si>
    <t xml:space="preserve">SO-25042</t>
  </si>
  <si>
    <t xml:space="preserve">SO-25043</t>
  </si>
  <si>
    <t xml:space="preserve">SO-25044</t>
  </si>
  <si>
    <t xml:space="preserve">SO-25045</t>
  </si>
  <si>
    <t xml:space="preserve">SO-25046</t>
  </si>
  <si>
    <t xml:space="preserve">SO-25047</t>
  </si>
  <si>
    <t xml:space="preserve">SO-25048</t>
  </si>
  <si>
    <t xml:space="preserve">Brazil</t>
  </si>
  <si>
    <t xml:space="preserve">SO-25049</t>
  </si>
  <si>
    <t xml:space="preserve">SO-25050</t>
  </si>
  <si>
    <t xml:space="preserve">SO-25051</t>
  </si>
  <si>
    <t xml:space="preserve">SO-25052</t>
  </si>
  <si>
    <t xml:space="preserve">SO-25053</t>
  </si>
  <si>
    <t xml:space="preserve">SO-25054</t>
  </si>
  <si>
    <t xml:space="preserve">SO-25055</t>
  </si>
  <si>
    <t xml:space="preserve">SO-25056</t>
  </si>
  <si>
    <t xml:space="preserve">SO-25057</t>
  </si>
  <si>
    <t xml:space="preserve">SO-25058</t>
  </si>
  <si>
    <t xml:space="preserve">SO-25059</t>
  </si>
  <si>
    <t xml:space="preserve">SO-25060</t>
  </si>
  <si>
    <t xml:space="preserve">SO-25061</t>
  </si>
  <si>
    <t xml:space="preserve">SO-25062</t>
  </si>
  <si>
    <t xml:space="preserve">SO-25063</t>
  </si>
  <si>
    <t xml:space="preserve">SO-25064</t>
  </si>
  <si>
    <t xml:space="preserve">SO-25065</t>
  </si>
  <si>
    <t xml:space="preserve">SO-25066</t>
  </si>
  <si>
    <t xml:space="preserve">SO-25067</t>
  </si>
  <si>
    <t xml:space="preserve">SO-25068</t>
  </si>
  <si>
    <t xml:space="preserve">SO-25069</t>
  </si>
  <si>
    <t xml:space="preserve">SO-25070</t>
  </si>
  <si>
    <t xml:space="preserve">SO-25071</t>
  </si>
  <si>
    <t xml:space="preserve">SO-25072</t>
  </si>
  <si>
    <t xml:space="preserve">SO-25073</t>
  </si>
  <si>
    <t xml:space="preserve">SO-25074</t>
  </si>
  <si>
    <t xml:space="preserve">Australia</t>
  </si>
  <si>
    <t xml:space="preserve">SO-25075</t>
  </si>
  <si>
    <t xml:space="preserve">SO-25076</t>
  </si>
  <si>
    <t xml:space="preserve">SO-25077</t>
  </si>
  <si>
    <t xml:space="preserve">SO-25078</t>
  </si>
  <si>
    <t xml:space="preserve">SO-25079</t>
  </si>
  <si>
    <t xml:space="preserve">SO-25080</t>
  </si>
  <si>
    <t xml:space="preserve">SO-25081</t>
  </si>
  <si>
    <t xml:space="preserve">SO-25082</t>
  </si>
  <si>
    <t xml:space="preserve">SO-25083</t>
  </si>
  <si>
    <t xml:space="preserve">SO-25084</t>
  </si>
  <si>
    <t xml:space="preserve">SO-25085</t>
  </si>
  <si>
    <t xml:space="preserve">SO-25086</t>
  </si>
  <si>
    <t xml:space="preserve">SO-25087</t>
  </si>
  <si>
    <t xml:space="preserve">SO-25088</t>
  </si>
  <si>
    <t xml:space="preserve">SO-25089</t>
  </si>
  <si>
    <t xml:space="preserve">SO-25090</t>
  </si>
  <si>
    <t xml:space="preserve">SO-25091</t>
  </si>
  <si>
    <t xml:space="preserve">SO-25092</t>
  </si>
  <si>
    <t xml:space="preserve">SO-25093</t>
  </si>
  <si>
    <t xml:space="preserve">SO-25094</t>
  </si>
  <si>
    <t xml:space="preserve">SO-25095</t>
  </si>
  <si>
    <t xml:space="preserve">SO-25096</t>
  </si>
  <si>
    <t xml:space="preserve">SO-25097</t>
  </si>
  <si>
    <t xml:space="preserve">SO-25098</t>
  </si>
  <si>
    <t xml:space="preserve">SO-25099</t>
  </si>
  <si>
    <t xml:space="preserve">SO-25100</t>
  </si>
  <si>
    <t xml:space="preserve">SO-25101</t>
  </si>
  <si>
    <t xml:space="preserve">SO-25102</t>
  </si>
  <si>
    <t xml:space="preserve">Switzerland</t>
  </si>
  <si>
    <t xml:space="preserve">SO-25103</t>
  </si>
  <si>
    <t xml:space="preserve">SO-25104</t>
  </si>
  <si>
    <t xml:space="preserve">SO-25105</t>
  </si>
  <si>
    <t xml:space="preserve">SO-25106</t>
  </si>
  <si>
    <t xml:space="preserve">SO-25107</t>
  </si>
  <si>
    <t xml:space="preserve">SO-25108</t>
  </si>
  <si>
    <t xml:space="preserve">SO-25109</t>
  </si>
  <si>
    <t xml:space="preserve">SO-25110</t>
  </si>
  <si>
    <t xml:space="preserve">SO-25111</t>
  </si>
  <si>
    <t xml:space="preserve">SO-25112</t>
  </si>
  <si>
    <t xml:space="preserve">SO-25113</t>
  </si>
  <si>
    <t xml:space="preserve">SO-25114</t>
  </si>
  <si>
    <t xml:space="preserve">SO-25115</t>
  </si>
  <si>
    <t xml:space="preserve">SO-25116</t>
  </si>
  <si>
    <t xml:space="preserve">SO-25117</t>
  </si>
  <si>
    <t xml:space="preserve">SO-25118</t>
  </si>
  <si>
    <t xml:space="preserve">SO-25119</t>
  </si>
  <si>
    <t xml:space="preserve">SO-25120</t>
  </si>
  <si>
    <t xml:space="preserve">SO-25121</t>
  </si>
  <si>
    <t xml:space="preserve">SO-25122</t>
  </si>
  <si>
    <t xml:space="preserve">SO-25123</t>
  </si>
  <si>
    <t xml:space="preserve">SO-25124</t>
  </si>
  <si>
    <t xml:space="preserve">SO-25125</t>
  </si>
  <si>
    <t xml:space="preserve">SO-25126</t>
  </si>
  <si>
    <t xml:space="preserve">SO-25127</t>
  </si>
  <si>
    <t xml:space="preserve">SO-25128</t>
  </si>
  <si>
    <t xml:space="preserve">SO-25129</t>
  </si>
  <si>
    <t xml:space="preserve">SO-25130</t>
  </si>
  <si>
    <t xml:space="preserve">SO-25131</t>
  </si>
  <si>
    <t xml:space="preserve">SO-25132</t>
  </si>
  <si>
    <t xml:space="preserve">SO-25133</t>
  </si>
  <si>
    <t xml:space="preserve">SO-25134</t>
  </si>
  <si>
    <t xml:space="preserve">SO-25135</t>
  </si>
  <si>
    <t xml:space="preserve">SO-25136</t>
  </si>
  <si>
    <t xml:space="preserve">SO-25137</t>
  </si>
  <si>
    <t xml:space="preserve">SO-25138</t>
  </si>
  <si>
    <t xml:space="preserve">SO-25139</t>
  </si>
  <si>
    <t xml:space="preserve">SO-25140</t>
  </si>
  <si>
    <t xml:space="preserve">SO-25141</t>
  </si>
  <si>
    <t xml:space="preserve">SO-25142</t>
  </si>
  <si>
    <t xml:space="preserve">SO-25143</t>
  </si>
  <si>
    <t xml:space="preserve">SO-25144</t>
  </si>
  <si>
    <t xml:space="preserve">SO-25145</t>
  </si>
  <si>
    <t xml:space="preserve">SO-25146</t>
  </si>
  <si>
    <t xml:space="preserve">SO-25147</t>
  </si>
  <si>
    <t xml:space="preserve">SO-25148</t>
  </si>
  <si>
    <t xml:space="preserve">SO-25149</t>
  </si>
  <si>
    <t xml:space="preserve">SO-25150</t>
  </si>
  <si>
    <t xml:space="preserve">SO-25151</t>
  </si>
  <si>
    <t xml:space="preserve">SO-25152</t>
  </si>
  <si>
    <t xml:space="preserve">SO-25153</t>
  </si>
  <si>
    <t xml:space="preserve">SO-25154</t>
  </si>
  <si>
    <t xml:space="preserve">SO-25155</t>
  </si>
  <si>
    <t xml:space="preserve">SO-25156</t>
  </si>
  <si>
    <t xml:space="preserve">SO-25157</t>
  </si>
  <si>
    <t xml:space="preserve">SO-25158</t>
  </si>
  <si>
    <t xml:space="preserve">SO-25159</t>
  </si>
  <si>
    <t xml:space="preserve">SO-25160</t>
  </si>
  <si>
    <t xml:space="preserve">SO-25161</t>
  </si>
  <si>
    <t xml:space="preserve">SO-25162</t>
  </si>
  <si>
    <t xml:space="preserve">SO-25163</t>
  </si>
  <si>
    <t xml:space="preserve">SO-25164</t>
  </si>
  <si>
    <t xml:space="preserve">SO-25165</t>
  </si>
  <si>
    <t xml:space="preserve">SO-25166</t>
  </si>
  <si>
    <t xml:space="preserve">SO-25167</t>
  </si>
  <si>
    <t xml:space="preserve">SO-25168</t>
  </si>
  <si>
    <t xml:space="preserve">SO-25169</t>
  </si>
  <si>
    <t xml:space="preserve">SO-25170</t>
  </si>
  <si>
    <t xml:space="preserve">SO-25171</t>
  </si>
  <si>
    <t xml:space="preserve">SO-25172</t>
  </si>
  <si>
    <t xml:space="preserve">SO-25173</t>
  </si>
  <si>
    <t xml:space="preserve">SO-25174</t>
  </si>
  <si>
    <t xml:space="preserve">SO-25175</t>
  </si>
  <si>
    <t xml:space="preserve">SO-25176</t>
  </si>
  <si>
    <t xml:space="preserve">SO-25177</t>
  </si>
  <si>
    <t xml:space="preserve">SO-25178</t>
  </si>
  <si>
    <t xml:space="preserve">SO-25179</t>
  </si>
  <si>
    <t xml:space="preserve">SO-25180</t>
  </si>
  <si>
    <t xml:space="preserve">SO-25181</t>
  </si>
  <si>
    <t xml:space="preserve">SO-25182</t>
  </si>
  <si>
    <t xml:space="preserve">SO-25183</t>
  </si>
  <si>
    <t xml:space="preserve">SO-25184</t>
  </si>
  <si>
    <t xml:space="preserve">SO-25185</t>
  </si>
  <si>
    <t xml:space="preserve">SO-25186</t>
  </si>
  <si>
    <t xml:space="preserve">SO-25187</t>
  </si>
  <si>
    <t xml:space="preserve">SO-25188</t>
  </si>
  <si>
    <t xml:space="preserve">SO-25189</t>
  </si>
  <si>
    <t xml:space="preserve">SO-25190</t>
  </si>
  <si>
    <t xml:space="preserve">SO-25191</t>
  </si>
  <si>
    <t xml:space="preserve">SO-25192</t>
  </si>
  <si>
    <t xml:space="preserve">SO-25193</t>
  </si>
  <si>
    <t xml:space="preserve">SO-25194</t>
  </si>
  <si>
    <t xml:space="preserve">SO-25195</t>
  </si>
  <si>
    <t xml:space="preserve">SO-25196</t>
  </si>
  <si>
    <t xml:space="preserve">SO-25197</t>
  </si>
  <si>
    <t xml:space="preserve">SO-25198</t>
  </si>
  <si>
    <t xml:space="preserve">SO-25199</t>
  </si>
  <si>
    <t xml:space="preserve">SO-25200</t>
  </si>
  <si>
    <t xml:space="preserve">SO-25201</t>
  </si>
  <si>
    <t xml:space="preserve">SO-25202</t>
  </si>
  <si>
    <t xml:space="preserve">SO-25203</t>
  </si>
  <si>
    <t xml:space="preserve">SO-25204</t>
  </si>
  <si>
    <t xml:space="preserve">SO-25205</t>
  </si>
  <si>
    <t xml:space="preserve">SO-25206</t>
  </si>
  <si>
    <t xml:space="preserve">SO-25207</t>
  </si>
  <si>
    <t xml:space="preserve">SO-25208</t>
  </si>
  <si>
    <t xml:space="preserve">SO-25209</t>
  </si>
  <si>
    <t xml:space="preserve">SO-25210</t>
  </si>
  <si>
    <t xml:space="preserve">SO-25211</t>
  </si>
  <si>
    <t xml:space="preserve">SO-25212</t>
  </si>
  <si>
    <t xml:space="preserve">SO-25213</t>
  </si>
  <si>
    <t xml:space="preserve">SO-25214</t>
  </si>
  <si>
    <t xml:space="preserve">SO-25215</t>
  </si>
  <si>
    <t xml:space="preserve">SO-25216</t>
  </si>
  <si>
    <t xml:space="preserve">SO-25217</t>
  </si>
  <si>
    <t xml:space="preserve">SO-25218</t>
  </si>
  <si>
    <t xml:space="preserve">SO-25219</t>
  </si>
  <si>
    <t xml:space="preserve">SO-25220</t>
  </si>
  <si>
    <t xml:space="preserve">SO-25221</t>
  </si>
  <si>
    <t xml:space="preserve">SO-25222</t>
  </si>
  <si>
    <t xml:space="preserve">SO-25223</t>
  </si>
  <si>
    <t xml:space="preserve">SO-25224</t>
  </si>
  <si>
    <t xml:space="preserve">SO-25225</t>
  </si>
  <si>
    <t xml:space="preserve">SO-25226</t>
  </si>
  <si>
    <t xml:space="preserve">SO-25227</t>
  </si>
  <si>
    <t xml:space="preserve">SO-25228</t>
  </si>
  <si>
    <t xml:space="preserve">SO-25229</t>
  </si>
  <si>
    <t xml:space="preserve">SO-25230</t>
  </si>
  <si>
    <t xml:space="preserve">SO-25231</t>
  </si>
  <si>
    <t xml:space="preserve">SO-25232</t>
  </si>
  <si>
    <t xml:space="preserve">SO-25233</t>
  </si>
  <si>
    <t xml:space="preserve">SO-25234</t>
  </si>
  <si>
    <t xml:space="preserve">SO-25235</t>
  </si>
  <si>
    <t xml:space="preserve">SO-25236</t>
  </si>
  <si>
    <t xml:space="preserve">SO-25237</t>
  </si>
  <si>
    <t xml:space="preserve">SO-25238</t>
  </si>
  <si>
    <t xml:space="preserve">SO-25239</t>
  </si>
  <si>
    <t xml:space="preserve">SO-25240</t>
  </si>
  <si>
    <t xml:space="preserve">SO-25241</t>
  </si>
  <si>
    <t xml:space="preserve">SO-25242</t>
  </si>
  <si>
    <t xml:space="preserve">SO-25243</t>
  </si>
  <si>
    <t xml:space="preserve">SO-25244</t>
  </si>
  <si>
    <t xml:space="preserve">SO-25245</t>
  </si>
  <si>
    <t xml:space="preserve">SO-25246</t>
  </si>
  <si>
    <t xml:space="preserve">SO-25247</t>
  </si>
  <si>
    <t xml:space="preserve">SO-25248</t>
  </si>
  <si>
    <t xml:space="preserve">SO-25249</t>
  </si>
  <si>
    <t xml:space="preserve">SO-25250</t>
  </si>
  <si>
    <t xml:space="preserve">SO-25251</t>
  </si>
  <si>
    <t xml:space="preserve">SO-25252</t>
  </si>
  <si>
    <t xml:space="preserve">SO-25253</t>
  </si>
  <si>
    <t xml:space="preserve">SO-25254</t>
  </si>
  <si>
    <t xml:space="preserve">SO-25255</t>
  </si>
  <si>
    <t xml:space="preserve">SO-25256</t>
  </si>
  <si>
    <t xml:space="preserve">SO-25257</t>
  </si>
  <si>
    <t xml:space="preserve">SO-25258</t>
  </si>
  <si>
    <t xml:space="preserve">SO-25259</t>
  </si>
  <si>
    <t xml:space="preserve">SO-25260</t>
  </si>
  <si>
    <t xml:space="preserve">SO-25261</t>
  </si>
  <si>
    <t xml:space="preserve">SO-25262</t>
  </si>
  <si>
    <t xml:space="preserve">SO-25263</t>
  </si>
  <si>
    <t xml:space="preserve">SO-25264</t>
  </si>
  <si>
    <t xml:space="preserve">SO-25265</t>
  </si>
  <si>
    <t xml:space="preserve">SO-25266</t>
  </si>
  <si>
    <t xml:space="preserve">SO-25267</t>
  </si>
  <si>
    <t xml:space="preserve">SO-25268</t>
  </si>
  <si>
    <t xml:space="preserve">SO-25269</t>
  </si>
  <si>
    <t xml:space="preserve">SO-25270</t>
  </si>
  <si>
    <t xml:space="preserve">SO-25271</t>
  </si>
  <si>
    <t xml:space="preserve">SO-25272</t>
  </si>
  <si>
    <t xml:space="preserve">SO-25273</t>
  </si>
  <si>
    <t xml:space="preserve">SO-25274</t>
  </si>
  <si>
    <t xml:space="preserve">SO-25275</t>
  </si>
  <si>
    <t xml:space="preserve">SO-25276</t>
  </si>
  <si>
    <t xml:space="preserve">SO-25277</t>
  </si>
  <si>
    <t xml:space="preserve">SO-25278</t>
  </si>
  <si>
    <t xml:space="preserve">SO-25279</t>
  </si>
  <si>
    <t xml:space="preserve">SO-25280</t>
  </si>
  <si>
    <t xml:space="preserve">SO-25281</t>
  </si>
  <si>
    <t xml:space="preserve">SO-25282</t>
  </si>
  <si>
    <t xml:space="preserve">SO-25283</t>
  </si>
  <si>
    <t xml:space="preserve">SO-25284</t>
  </si>
  <si>
    <t xml:space="preserve">SO-25285</t>
  </si>
  <si>
    <t xml:space="preserve">SO-25286</t>
  </si>
  <si>
    <t xml:space="preserve">SO-25287</t>
  </si>
  <si>
    <t xml:space="preserve">SO-25288</t>
  </si>
  <si>
    <t xml:space="preserve">SO-25289</t>
  </si>
  <si>
    <t xml:space="preserve">SO-25290</t>
  </si>
  <si>
    <t xml:space="preserve">SO-25291</t>
  </si>
  <si>
    <t xml:space="preserve">SO-25292</t>
  </si>
  <si>
    <t xml:space="preserve">SO-25293</t>
  </si>
  <si>
    <t xml:space="preserve">SO-25294</t>
  </si>
  <si>
    <t xml:space="preserve">SO-25295</t>
  </si>
  <si>
    <t xml:space="preserve">SO-25296</t>
  </si>
  <si>
    <t xml:space="preserve">SO-25297</t>
  </si>
  <si>
    <t xml:space="preserve">SO-25298</t>
  </si>
  <si>
    <t xml:space="preserve">SO-25299</t>
  </si>
  <si>
    <t xml:space="preserve">SO-25300</t>
  </si>
  <si>
    <t xml:space="preserve">SO-25301</t>
  </si>
  <si>
    <t xml:space="preserve">SO-25302</t>
  </si>
  <si>
    <t xml:space="preserve">SO-25303</t>
  </si>
  <si>
    <t xml:space="preserve">SO-25304</t>
  </si>
  <si>
    <t xml:space="preserve">SO-25305</t>
  </si>
  <si>
    <t xml:space="preserve">SO-25306</t>
  </si>
  <si>
    <t xml:space="preserve">SO-25307</t>
  </si>
  <si>
    <t xml:space="preserve">SO-25308</t>
  </si>
  <si>
    <t xml:space="preserve">SO-25309</t>
  </si>
  <si>
    <t xml:space="preserve">SO-25310</t>
  </si>
  <si>
    <t xml:space="preserve">SO-25311</t>
  </si>
  <si>
    <t xml:space="preserve">SO-25312</t>
  </si>
  <si>
    <t xml:space="preserve">SO-25313</t>
  </si>
  <si>
    <t xml:space="preserve">SO-25314</t>
  </si>
  <si>
    <t xml:space="preserve">SO-25315</t>
  </si>
  <si>
    <t xml:space="preserve">SO-25316</t>
  </si>
  <si>
    <t xml:space="preserve">SO-25317</t>
  </si>
  <si>
    <t xml:space="preserve">SO-25318</t>
  </si>
  <si>
    <t xml:space="preserve">SO-25319</t>
  </si>
  <si>
    <t xml:space="preserve">SO-25320</t>
  </si>
  <si>
    <t xml:space="preserve">SO-25321</t>
  </si>
  <si>
    <t xml:space="preserve">SO-25322</t>
  </si>
  <si>
    <t xml:space="preserve">SO-25323</t>
  </si>
  <si>
    <t xml:space="preserve">SO-25324</t>
  </si>
  <si>
    <t xml:space="preserve">SO-25325</t>
  </si>
  <si>
    <t xml:space="preserve">SO-25326</t>
  </si>
  <si>
    <t xml:space="preserve">SO-25327</t>
  </si>
  <si>
    <t xml:space="preserve">SO-25328</t>
  </si>
  <si>
    <t xml:space="preserve">SO-25329</t>
  </si>
  <si>
    <t xml:space="preserve">SO-25330</t>
  </si>
  <si>
    <t xml:space="preserve">SO-25331</t>
  </si>
  <si>
    <t xml:space="preserve">SO-25332</t>
  </si>
  <si>
    <t xml:space="preserve">SO-25333</t>
  </si>
  <si>
    <t xml:space="preserve">SO-25334</t>
  </si>
  <si>
    <t xml:space="preserve">SO-25335</t>
  </si>
  <si>
    <t xml:space="preserve">SO-25336</t>
  </si>
  <si>
    <t xml:space="preserve">SO-25337</t>
  </si>
  <si>
    <t xml:space="preserve">SO-25338</t>
  </si>
  <si>
    <t xml:space="preserve">SO-25339</t>
  </si>
  <si>
    <t xml:space="preserve">SO-25340</t>
  </si>
  <si>
    <t xml:space="preserve">SO-25341</t>
  </si>
  <si>
    <t xml:space="preserve">SO-25342</t>
  </si>
  <si>
    <t xml:space="preserve">SO-25343</t>
  </si>
  <si>
    <t xml:space="preserve">SO-25344</t>
  </si>
  <si>
    <t xml:space="preserve">SO-25345</t>
  </si>
  <si>
    <t xml:space="preserve">SO-25346</t>
  </si>
  <si>
    <t xml:space="preserve">SO-25347</t>
  </si>
  <si>
    <t xml:space="preserve">SO-25348</t>
  </si>
  <si>
    <t xml:space="preserve">SO-25349</t>
  </si>
  <si>
    <t xml:space="preserve">SO-25350</t>
  </si>
  <si>
    <t xml:space="preserve">SO-25351</t>
  </si>
  <si>
    <t xml:space="preserve">SO-25352</t>
  </si>
  <si>
    <t xml:space="preserve">SO-25353</t>
  </si>
  <si>
    <t xml:space="preserve">SO-25354</t>
  </si>
  <si>
    <t xml:space="preserve">SO-25355</t>
  </si>
  <si>
    <t xml:space="preserve">SO-25356</t>
  </si>
  <si>
    <t xml:space="preserve">SO-25357</t>
  </si>
  <si>
    <t xml:space="preserve">SO-25358</t>
  </si>
  <si>
    <t xml:space="preserve">SO-25359</t>
  </si>
  <si>
    <t xml:space="preserve">SO-25360</t>
  </si>
  <si>
    <t xml:space="preserve">SO-25361</t>
  </si>
  <si>
    <t xml:space="preserve">SO-25362</t>
  </si>
  <si>
    <t xml:space="preserve">SO-25363</t>
  </si>
  <si>
    <t xml:space="preserve">SO-25364</t>
  </si>
  <si>
    <t xml:space="preserve">SO-25365</t>
  </si>
  <si>
    <t xml:space="preserve">SO-25366</t>
  </si>
  <si>
    <t xml:space="preserve">SO-25367</t>
  </si>
  <si>
    <t xml:space="preserve">SO-25368</t>
  </si>
  <si>
    <t xml:space="preserve">SO-25369</t>
  </si>
  <si>
    <t xml:space="preserve">SO-25370</t>
  </si>
  <si>
    <t xml:space="preserve">SO-25371</t>
  </si>
  <si>
    <t xml:space="preserve">SO-25372</t>
  </si>
  <si>
    <t xml:space="preserve">SO-25373</t>
  </si>
  <si>
    <t xml:space="preserve">SO-25374</t>
  </si>
  <si>
    <t xml:space="preserve">SO-25375</t>
  </si>
  <si>
    <t xml:space="preserve">SO-25376</t>
  </si>
  <si>
    <t xml:space="preserve">SO-25377</t>
  </si>
  <si>
    <t xml:space="preserve">SO-25378</t>
  </si>
  <si>
    <t xml:space="preserve">SO-25379</t>
  </si>
  <si>
    <t xml:space="preserve">SO-25380</t>
  </si>
  <si>
    <t xml:space="preserve">SO-25381</t>
  </si>
  <si>
    <t xml:space="preserve">SO-25382</t>
  </si>
  <si>
    <t xml:space="preserve">SO-25383</t>
  </si>
  <si>
    <t xml:space="preserve">SO-25384</t>
  </si>
  <si>
    <t xml:space="preserve">SO-25385</t>
  </si>
  <si>
    <t xml:space="preserve">SO-25386</t>
  </si>
  <si>
    <t xml:space="preserve">SO-25387</t>
  </si>
  <si>
    <t xml:space="preserve">SO-25388</t>
  </si>
  <si>
    <t xml:space="preserve">SO-25389</t>
  </si>
  <si>
    <t xml:space="preserve">SO-25390</t>
  </si>
  <si>
    <t xml:space="preserve">SO-25391</t>
  </si>
  <si>
    <t xml:space="preserve">SO-25392</t>
  </si>
  <si>
    <t xml:space="preserve">SO-25393</t>
  </si>
  <si>
    <t xml:space="preserve">SO-25394</t>
  </si>
  <si>
    <t xml:space="preserve">SO-25395</t>
  </si>
  <si>
    <t xml:space="preserve">SO-25396</t>
  </si>
  <si>
    <t xml:space="preserve">SO-25397</t>
  </si>
  <si>
    <t xml:space="preserve">SO-25398</t>
  </si>
  <si>
    <t xml:space="preserve">SO-25399</t>
  </si>
  <si>
    <t xml:space="preserve">SO-25400</t>
  </si>
  <si>
    <t xml:space="preserve">SO-25401</t>
  </si>
  <si>
    <t xml:space="preserve">SO-25402</t>
  </si>
  <si>
    <t xml:space="preserve">SO-25403</t>
  </si>
  <si>
    <t xml:space="preserve">SO-25404</t>
  </si>
  <si>
    <t xml:space="preserve">SO-25405</t>
  </si>
  <si>
    <t xml:space="preserve">SO-25406</t>
  </si>
  <si>
    <t xml:space="preserve">SO-25407</t>
  </si>
  <si>
    <t xml:space="preserve">SO-25408</t>
  </si>
  <si>
    <t xml:space="preserve">SO-25409</t>
  </si>
  <si>
    <t xml:space="preserve">SO-25410</t>
  </si>
  <si>
    <t xml:space="preserve">SO-25411</t>
  </si>
  <si>
    <t xml:space="preserve">SO-25412</t>
  </si>
  <si>
    <t xml:space="preserve">SO-25413</t>
  </si>
  <si>
    <t xml:space="preserve">SO-25414</t>
  </si>
  <si>
    <t xml:space="preserve">SO-25415</t>
  </si>
  <si>
    <t xml:space="preserve">SO-25416</t>
  </si>
  <si>
    <t xml:space="preserve">SO-25417</t>
  </si>
  <si>
    <t xml:space="preserve">SO-25418</t>
  </si>
  <si>
    <t xml:space="preserve">SO-25419</t>
  </si>
  <si>
    <t xml:space="preserve">SO-25420</t>
  </si>
  <si>
    <t xml:space="preserve">SO-25421</t>
  </si>
  <si>
    <t xml:space="preserve">SO-25422</t>
  </si>
  <si>
    <t xml:space="preserve">SO-25423</t>
  </si>
  <si>
    <t xml:space="preserve">SO-25424</t>
  </si>
  <si>
    <t xml:space="preserve">SO-25425</t>
  </si>
  <si>
    <t xml:space="preserve">SO-25426</t>
  </si>
  <si>
    <t xml:space="preserve">SO-25427</t>
  </si>
  <si>
    <t xml:space="preserve">SO-25428</t>
  </si>
  <si>
    <t xml:space="preserve">SO-25429</t>
  </si>
  <si>
    <t xml:space="preserve">SO-25430</t>
  </si>
  <si>
    <t xml:space="preserve">SO-25431</t>
  </si>
  <si>
    <t xml:space="preserve">SO-25432</t>
  </si>
  <si>
    <t xml:space="preserve">SO-25433</t>
  </si>
  <si>
    <t xml:space="preserve">SO-25434</t>
  </si>
  <si>
    <t xml:space="preserve">SO-25435</t>
  </si>
  <si>
    <t xml:space="preserve">SO-25436</t>
  </si>
  <si>
    <t xml:space="preserve">SO-25437</t>
  </si>
  <si>
    <t xml:space="preserve">SO-25438</t>
  </si>
  <si>
    <t xml:space="preserve">SO-25439</t>
  </si>
  <si>
    <t xml:space="preserve">SO-25440</t>
  </si>
  <si>
    <t xml:space="preserve">SO-25441</t>
  </si>
  <si>
    <t xml:space="preserve">SO-25442</t>
  </si>
  <si>
    <t xml:space="preserve">SO-25443</t>
  </si>
  <si>
    <t xml:space="preserve">SO-25444</t>
  </si>
  <si>
    <t xml:space="preserve">SO-25445</t>
  </si>
  <si>
    <t xml:space="preserve">SO-25446</t>
  </si>
  <si>
    <t xml:space="preserve">SO-25447</t>
  </si>
  <si>
    <t xml:space="preserve">SO-25448</t>
  </si>
  <si>
    <t xml:space="preserve">SO-25449</t>
  </si>
  <si>
    <t xml:space="preserve">SO-25450</t>
  </si>
  <si>
    <t xml:space="preserve">SO-25451</t>
  </si>
  <si>
    <t xml:space="preserve">SO-25452</t>
  </si>
  <si>
    <t xml:space="preserve">SO-25453</t>
  </si>
  <si>
    <t xml:space="preserve">SO-25454</t>
  </si>
  <si>
    <t xml:space="preserve">SO-25455</t>
  </si>
  <si>
    <t xml:space="preserve">SO-25456</t>
  </si>
  <si>
    <t xml:space="preserve">SO-25457</t>
  </si>
  <si>
    <t xml:space="preserve">SO-25458</t>
  </si>
  <si>
    <t xml:space="preserve">SO-25459</t>
  </si>
  <si>
    <t xml:space="preserve">SO-25460</t>
  </si>
  <si>
    <t xml:space="preserve">SO-25461</t>
  </si>
  <si>
    <t xml:space="preserve">SO-25462</t>
  </si>
  <si>
    <t xml:space="preserve">SO-25463</t>
  </si>
  <si>
    <t xml:space="preserve">SO-25464</t>
  </si>
  <si>
    <t xml:space="preserve">SO-25465</t>
  </si>
  <si>
    <t xml:space="preserve">SO-25466</t>
  </si>
  <si>
    <t xml:space="preserve">SO-25467</t>
  </si>
  <si>
    <t xml:space="preserve">SO-25468</t>
  </si>
  <si>
    <t xml:space="preserve">SO-25469</t>
  </si>
  <si>
    <t xml:space="preserve">SO-25470</t>
  </si>
  <si>
    <t xml:space="preserve">SO-25471</t>
  </si>
  <si>
    <t xml:space="preserve">SO-25472</t>
  </si>
  <si>
    <t xml:space="preserve">SO-25473</t>
  </si>
  <si>
    <t xml:space="preserve">SO-25474</t>
  </si>
  <si>
    <t xml:space="preserve">SO-25475</t>
  </si>
  <si>
    <t xml:space="preserve">SO-25476</t>
  </si>
  <si>
    <t xml:space="preserve">SO-25477</t>
  </si>
  <si>
    <t xml:space="preserve">SO-25478</t>
  </si>
  <si>
    <t xml:space="preserve">SO-25479</t>
  </si>
  <si>
    <t xml:space="preserve">SO-25480</t>
  </si>
  <si>
    <t xml:space="preserve">SO-25481</t>
  </si>
  <si>
    <t xml:space="preserve">SO-25482</t>
  </si>
  <si>
    <t xml:space="preserve">SO-25483</t>
  </si>
  <si>
    <t xml:space="preserve">SO-25484</t>
  </si>
  <si>
    <t xml:space="preserve">SO-25485</t>
  </si>
  <si>
    <t xml:space="preserve">SO-25486</t>
  </si>
  <si>
    <t xml:space="preserve">SO-25487</t>
  </si>
  <si>
    <t xml:space="preserve">SO-25488</t>
  </si>
  <si>
    <t xml:space="preserve">SO-25489</t>
  </si>
  <si>
    <t xml:space="preserve">SO-25490</t>
  </si>
  <si>
    <t xml:space="preserve">SO-25491</t>
  </si>
  <si>
    <t xml:space="preserve">SO-25492</t>
  </si>
  <si>
    <t xml:space="preserve">SO-25493</t>
  </si>
  <si>
    <t xml:space="preserve">SO-25494</t>
  </si>
  <si>
    <t xml:space="preserve">SO-25495</t>
  </si>
  <si>
    <t xml:space="preserve">SO-25496</t>
  </si>
  <si>
    <t xml:space="preserve">SO-25497</t>
  </si>
  <si>
    <t xml:space="preserve">SO-25498</t>
  </si>
  <si>
    <t xml:space="preserve">SO-25499</t>
  </si>
  <si>
    <t xml:space="preserve">SO-25500</t>
  </si>
  <si>
    <t xml:space="preserve">SO-25501</t>
  </si>
  <si>
    <t xml:space="preserve">SO-25502</t>
  </si>
  <si>
    <t xml:space="preserve">SO-25503</t>
  </si>
  <si>
    <t xml:space="preserve">SO-25504</t>
  </si>
  <si>
    <t xml:space="preserve">SO-25505</t>
  </si>
  <si>
    <t xml:space="preserve">SO-25506</t>
  </si>
  <si>
    <t xml:space="preserve">SO-25507</t>
  </si>
  <si>
    <t xml:space="preserve">SO-25508</t>
  </si>
  <si>
    <t xml:space="preserve">SO-25509</t>
  </si>
  <si>
    <t xml:space="preserve">SO-25510</t>
  </si>
  <si>
    <t xml:space="preserve">SO-25511</t>
  </si>
  <si>
    <t xml:space="preserve">SO-25512</t>
  </si>
  <si>
    <t xml:space="preserve">SO-25513</t>
  </si>
  <si>
    <t xml:space="preserve">SO-25514</t>
  </si>
  <si>
    <t xml:space="preserve">SO-25515</t>
  </si>
  <si>
    <t xml:space="preserve">SO-25516</t>
  </si>
  <si>
    <t xml:space="preserve">SO-25517</t>
  </si>
  <si>
    <t xml:space="preserve">SO-25518</t>
  </si>
  <si>
    <t xml:space="preserve">SO-25519</t>
  </si>
  <si>
    <t xml:space="preserve">SO-25520</t>
  </si>
  <si>
    <t xml:space="preserve">SO-25521</t>
  </si>
  <si>
    <t xml:space="preserve">SO-25522</t>
  </si>
  <si>
    <t xml:space="preserve">SO-25523</t>
  </si>
  <si>
    <t xml:space="preserve">SO-25524</t>
  </si>
  <si>
    <t xml:space="preserve">SO-25525</t>
  </si>
  <si>
    <t xml:space="preserve">SO-25526</t>
  </si>
  <si>
    <t xml:space="preserve">SO-25527</t>
  </si>
  <si>
    <t xml:space="preserve">SO-25528</t>
  </si>
  <si>
    <t xml:space="preserve">SO-25529</t>
  </si>
  <si>
    <t xml:space="preserve">SO-25530</t>
  </si>
  <si>
    <t xml:space="preserve">SO-25531</t>
  </si>
  <si>
    <t xml:space="preserve">SO-25532</t>
  </si>
  <si>
    <t xml:space="preserve">SO-25533</t>
  </si>
  <si>
    <t xml:space="preserve">SO-25534</t>
  </si>
  <si>
    <t xml:space="preserve">SO-25535</t>
  </si>
  <si>
    <t xml:space="preserve">SO-25536</t>
  </si>
  <si>
    <t xml:space="preserve">SO-25537</t>
  </si>
  <si>
    <t xml:space="preserve">SO-25538</t>
  </si>
  <si>
    <t xml:space="preserve">SO-25539</t>
  </si>
  <si>
    <t xml:space="preserve">SO-25540</t>
  </si>
  <si>
    <t xml:space="preserve">SO-25541</t>
  </si>
  <si>
    <t xml:space="preserve">SO-25542</t>
  </si>
  <si>
    <t xml:space="preserve">SO-25543</t>
  </si>
  <si>
    <t xml:space="preserve">SO-25544</t>
  </si>
  <si>
    <t xml:space="preserve">SO-25545</t>
  </si>
  <si>
    <t xml:space="preserve">SO-25546</t>
  </si>
  <si>
    <t xml:space="preserve">SO-25547</t>
  </si>
  <si>
    <t xml:space="preserve">SO-25548</t>
  </si>
  <si>
    <t xml:space="preserve">SO-25549</t>
  </si>
  <si>
    <t xml:space="preserve">SO-25550</t>
  </si>
  <si>
    <t xml:space="preserve">SO-25551</t>
  </si>
  <si>
    <t xml:space="preserve">SO-25552</t>
  </si>
  <si>
    <t xml:space="preserve">SO-25553</t>
  </si>
  <si>
    <t xml:space="preserve">SO-25554</t>
  </si>
  <si>
    <t xml:space="preserve">SO-25555</t>
  </si>
  <si>
    <t xml:space="preserve">SO-25556</t>
  </si>
  <si>
    <t xml:space="preserve">SO-25557</t>
  </si>
  <si>
    <t xml:space="preserve">SO-25558</t>
  </si>
  <si>
    <t xml:space="preserve">SO-25559</t>
  </si>
  <si>
    <t xml:space="preserve">SO-25560</t>
  </si>
  <si>
    <t xml:space="preserve">SO-25561</t>
  </si>
  <si>
    <t xml:space="preserve">SO-25562</t>
  </si>
  <si>
    <t xml:space="preserve">SO-25563</t>
  </si>
  <si>
    <t xml:space="preserve">SO-25564</t>
  </si>
  <si>
    <t xml:space="preserve">SO-25565</t>
  </si>
  <si>
    <t xml:space="preserve">SO-25566</t>
  </si>
  <si>
    <t xml:space="preserve">SO-25567</t>
  </si>
  <si>
    <t xml:space="preserve">SO-25568</t>
  </si>
  <si>
    <t xml:space="preserve">SO-25569</t>
  </si>
  <si>
    <t xml:space="preserve">SO-25570</t>
  </si>
  <si>
    <t xml:space="preserve">SO-25571</t>
  </si>
  <si>
    <t xml:space="preserve">SO-25572</t>
  </si>
  <si>
    <t xml:space="preserve">SO-25573</t>
  </si>
  <si>
    <t xml:space="preserve">SO-25574</t>
  </si>
  <si>
    <t xml:space="preserve">SO-25575</t>
  </si>
  <si>
    <t xml:space="preserve">SO-25576</t>
  </si>
  <si>
    <t xml:space="preserve">SO-25577</t>
  </si>
  <si>
    <t xml:space="preserve">SO-25578</t>
  </si>
  <si>
    <t xml:space="preserve">SO-25579</t>
  </si>
  <si>
    <t xml:space="preserve">SO-25580</t>
  </si>
  <si>
    <t xml:space="preserve">SO-25581</t>
  </si>
  <si>
    <t xml:space="preserve">SO-25582</t>
  </si>
  <si>
    <t xml:space="preserve">SO-25583</t>
  </si>
  <si>
    <t xml:space="preserve">SO-25584</t>
  </si>
  <si>
    <t xml:space="preserve">SO-25585</t>
  </si>
  <si>
    <t xml:space="preserve">SO-25586</t>
  </si>
  <si>
    <t xml:space="preserve">SO-25587</t>
  </si>
  <si>
    <t xml:space="preserve">SO-25588</t>
  </si>
  <si>
    <t xml:space="preserve">SO-25589</t>
  </si>
  <si>
    <t xml:space="preserve">SO-25590</t>
  </si>
  <si>
    <t xml:space="preserve">SO-25591</t>
  </si>
  <si>
    <t xml:space="preserve">SO-25592</t>
  </si>
  <si>
    <t xml:space="preserve">SO-25593</t>
  </si>
  <si>
    <t xml:space="preserve">SO-25594</t>
  </si>
  <si>
    <t xml:space="preserve">SO-25595</t>
  </si>
  <si>
    <t xml:space="preserve">SO-25596</t>
  </si>
  <si>
    <t xml:space="preserve">SO-25597</t>
  </si>
  <si>
    <t xml:space="preserve">SO-25598</t>
  </si>
  <si>
    <t xml:space="preserve">SO-25599</t>
  </si>
  <si>
    <t xml:space="preserve">SO-25600</t>
  </si>
  <si>
    <t xml:space="preserve">SO-25601</t>
  </si>
  <si>
    <t xml:space="preserve">SO-25602</t>
  </si>
  <si>
    <t xml:space="preserve">SO-25603</t>
  </si>
  <si>
    <t xml:space="preserve">SO-25604</t>
  </si>
  <si>
    <t xml:space="preserve">SO-25605</t>
  </si>
  <si>
    <t xml:space="preserve">SO-25606</t>
  </si>
  <si>
    <t xml:space="preserve">SO-25607</t>
  </si>
  <si>
    <t xml:space="preserve">SO-25608</t>
  </si>
  <si>
    <t xml:space="preserve">SO-25609</t>
  </si>
  <si>
    <t xml:space="preserve">SO-25610</t>
  </si>
  <si>
    <t xml:space="preserve">SO-25611</t>
  </si>
  <si>
    <t xml:space="preserve">SO-25612</t>
  </si>
  <si>
    <t xml:space="preserve">SO-25613</t>
  </si>
  <si>
    <t xml:space="preserve">SO-25614</t>
  </si>
  <si>
    <t xml:space="preserve">SO-25615</t>
  </si>
  <si>
    <t xml:space="preserve">SO-25616</t>
  </si>
  <si>
    <t xml:space="preserve">SO-25617</t>
  </si>
  <si>
    <t xml:space="preserve">SO-25618</t>
  </si>
  <si>
    <t xml:space="preserve">SO-25619</t>
  </si>
  <si>
    <t xml:space="preserve">SO-25620</t>
  </si>
  <si>
    <t xml:space="preserve">SO-25621</t>
  </si>
  <si>
    <t xml:space="preserve">SO-25622</t>
  </si>
  <si>
    <t xml:space="preserve">SO-25623</t>
  </si>
  <si>
    <t xml:space="preserve">SO-25624</t>
  </si>
  <si>
    <t xml:space="preserve">SO-25625</t>
  </si>
  <si>
    <t xml:space="preserve">SO-25626</t>
  </si>
  <si>
    <t xml:space="preserve">SO-25627</t>
  </si>
  <si>
    <t xml:space="preserve">SO-25628</t>
  </si>
  <si>
    <t xml:space="preserve">SO-25629</t>
  </si>
  <si>
    <t xml:space="preserve">SO-25630</t>
  </si>
  <si>
    <t xml:space="preserve">SO-25631</t>
  </si>
  <si>
    <t xml:space="preserve">SO-25632</t>
  </si>
  <si>
    <t xml:space="preserve">SO-25633</t>
  </si>
  <si>
    <t xml:space="preserve">SO-25634</t>
  </si>
  <si>
    <t xml:space="preserve">SO-25635</t>
  </si>
  <si>
    <t xml:space="preserve">SO-25636</t>
  </si>
  <si>
    <t xml:space="preserve">SO-25637</t>
  </si>
  <si>
    <t xml:space="preserve">SO-25638</t>
  </si>
  <si>
    <t xml:space="preserve">SO-25639</t>
  </si>
  <si>
    <t xml:space="preserve">SO-25640</t>
  </si>
  <si>
    <t xml:space="preserve">SO-25641</t>
  </si>
  <si>
    <t xml:space="preserve">SO-25642</t>
  </si>
  <si>
    <t xml:space="preserve">SO-25643</t>
  </si>
  <si>
    <t xml:space="preserve">SO-25644</t>
  </si>
  <si>
    <t xml:space="preserve">SO-25645</t>
  </si>
  <si>
    <t xml:space="preserve">SO-25646</t>
  </si>
  <si>
    <t xml:space="preserve">SO-25647</t>
  </si>
  <si>
    <t xml:space="preserve">SO-25648</t>
  </si>
  <si>
    <t xml:space="preserve">SO-25649</t>
  </si>
  <si>
    <t xml:space="preserve">SO-25650</t>
  </si>
  <si>
    <t xml:space="preserve">SO-25651</t>
  </si>
  <si>
    <t xml:space="preserve">SO-25652</t>
  </si>
  <si>
    <t xml:space="preserve">SO-25653</t>
  </si>
  <si>
    <t xml:space="preserve">SO-25654</t>
  </si>
  <si>
    <t xml:space="preserve">SO-25655</t>
  </si>
  <si>
    <t xml:space="preserve">SO-25656</t>
  </si>
  <si>
    <t xml:space="preserve">SO-25657</t>
  </si>
  <si>
    <t xml:space="preserve">SO-25658</t>
  </si>
  <si>
    <t xml:space="preserve">SO-25659</t>
  </si>
  <si>
    <t xml:space="preserve">SO-25660</t>
  </si>
  <si>
    <t xml:space="preserve">SO-25661</t>
  </si>
  <si>
    <t xml:space="preserve">SO-25662</t>
  </si>
  <si>
    <t xml:space="preserve">SO-25663</t>
  </si>
  <si>
    <t xml:space="preserve">SO-25664</t>
  </si>
  <si>
    <t xml:space="preserve">SO-25665</t>
  </si>
  <si>
    <t xml:space="preserve">SO-25666</t>
  </si>
  <si>
    <t xml:space="preserve">SO-25667</t>
  </si>
  <si>
    <t xml:space="preserve">SO-25668</t>
  </si>
  <si>
    <t xml:space="preserve">SO-25669</t>
  </si>
  <si>
    <t xml:space="preserve">SO-25670</t>
  </si>
  <si>
    <t xml:space="preserve">SO-25671</t>
  </si>
  <si>
    <t xml:space="preserve">SO-25672</t>
  </si>
  <si>
    <t xml:space="preserve">SO-25673</t>
  </si>
  <si>
    <t xml:space="preserve">SO-25674</t>
  </si>
  <si>
    <t xml:space="preserve">SO-25675</t>
  </si>
  <si>
    <t xml:space="preserve">SO-25676</t>
  </si>
  <si>
    <t xml:space="preserve">SO-25677</t>
  </si>
  <si>
    <t xml:space="preserve">SO-25678</t>
  </si>
  <si>
    <t xml:space="preserve">SO-25679</t>
  </si>
  <si>
    <t xml:space="preserve">SO-25680</t>
  </si>
  <si>
    <t xml:space="preserve">SO-25681</t>
  </si>
  <si>
    <t xml:space="preserve">SO-25682</t>
  </si>
  <si>
    <t xml:space="preserve">SO-25683</t>
  </si>
  <si>
    <t xml:space="preserve">SO-25684</t>
  </si>
  <si>
    <t xml:space="preserve">SO-25685</t>
  </si>
  <si>
    <t xml:space="preserve">SO-25686</t>
  </si>
  <si>
    <t xml:space="preserve">SO-25687</t>
  </si>
  <si>
    <t xml:space="preserve">SO-25688</t>
  </si>
  <si>
    <t xml:space="preserve">SO-25689</t>
  </si>
  <si>
    <t xml:space="preserve">SO-25690</t>
  </si>
  <si>
    <t xml:space="preserve">SO-25691</t>
  </si>
  <si>
    <t xml:space="preserve">SO-25692</t>
  </si>
  <si>
    <t xml:space="preserve">SO-25693</t>
  </si>
  <si>
    <t xml:space="preserve">SO-25694</t>
  </si>
  <si>
    <t xml:space="preserve">SO-25695</t>
  </si>
  <si>
    <t xml:space="preserve">SO-25696</t>
  </si>
  <si>
    <t xml:space="preserve">SO-25697</t>
  </si>
  <si>
    <t xml:space="preserve">SO-25698</t>
  </si>
  <si>
    <t xml:space="preserve">SO-25699</t>
  </si>
  <si>
    <t xml:space="preserve">SO-25700</t>
  </si>
  <si>
    <t xml:space="preserve">SO-25701</t>
  </si>
  <si>
    <t xml:space="preserve">SO-25702</t>
  </si>
  <si>
    <t xml:space="preserve">SO-25703</t>
  </si>
  <si>
    <t xml:space="preserve">SO-25704</t>
  </si>
  <si>
    <t xml:space="preserve">SO-25705</t>
  </si>
  <si>
    <t xml:space="preserve">SO-25706</t>
  </si>
  <si>
    <t xml:space="preserve">SO-25707</t>
  </si>
  <si>
    <t xml:space="preserve">SO-25708</t>
  </si>
  <si>
    <t xml:space="preserve">SO-25709</t>
  </si>
  <si>
    <t xml:space="preserve">SO-25710</t>
  </si>
  <si>
    <t xml:space="preserve">SO-25711</t>
  </si>
  <si>
    <t xml:space="preserve">SO-25712</t>
  </si>
  <si>
    <t xml:space="preserve">SO-25713</t>
  </si>
  <si>
    <t xml:space="preserve">SO-25714</t>
  </si>
  <si>
    <t xml:space="preserve">SO-25715</t>
  </si>
  <si>
    <t xml:space="preserve">SO-25716</t>
  </si>
  <si>
    <t xml:space="preserve">SO-25717</t>
  </si>
  <si>
    <t xml:space="preserve">SO-25718</t>
  </si>
  <si>
    <t xml:space="preserve">SO-25719</t>
  </si>
  <si>
    <t xml:space="preserve">SO-25720</t>
  </si>
  <si>
    <t xml:space="preserve">SO-25721</t>
  </si>
  <si>
    <t xml:space="preserve">SO-25722</t>
  </si>
  <si>
    <t xml:space="preserve">SO-25723</t>
  </si>
  <si>
    <t xml:space="preserve">SO-25724</t>
  </si>
  <si>
    <t xml:space="preserve">SO-25725</t>
  </si>
  <si>
    <t xml:space="preserve">SO-25726</t>
  </si>
  <si>
    <t xml:space="preserve">SO-25727</t>
  </si>
  <si>
    <t xml:space="preserve">SO-25728</t>
  </si>
  <si>
    <t xml:space="preserve">SO-25729</t>
  </si>
  <si>
    <t xml:space="preserve">SO-25730</t>
  </si>
  <si>
    <t xml:space="preserve">SO-25731</t>
  </si>
  <si>
    <t xml:space="preserve">SO-25732</t>
  </si>
  <si>
    <t xml:space="preserve">SO-25733</t>
  </si>
  <si>
    <t xml:space="preserve">SO-25734</t>
  </si>
  <si>
    <t xml:space="preserve">SO-25735</t>
  </si>
  <si>
    <t xml:space="preserve">SO-25736</t>
  </si>
  <si>
    <t xml:space="preserve">SO-25737</t>
  </si>
  <si>
    <t xml:space="preserve">SO-25738</t>
  </si>
  <si>
    <t xml:space="preserve">SO-25739</t>
  </si>
  <si>
    <t xml:space="preserve">SO-25740</t>
  </si>
  <si>
    <t xml:space="preserve">SO-25741</t>
  </si>
  <si>
    <t xml:space="preserve">SO-25742</t>
  </si>
  <si>
    <t xml:space="preserve">SO-25743</t>
  </si>
  <si>
    <t xml:space="preserve">SO-25744</t>
  </si>
  <si>
    <t xml:space="preserve">SO-25745</t>
  </si>
  <si>
    <t xml:space="preserve">SO-25746</t>
  </si>
  <si>
    <t xml:space="preserve">SO-25747</t>
  </si>
  <si>
    <t xml:space="preserve">SO-25748</t>
  </si>
  <si>
    <t xml:space="preserve">SO-25749</t>
  </si>
  <si>
    <t xml:space="preserve">SO-25750</t>
  </si>
  <si>
    <t xml:space="preserve">SO-25751</t>
  </si>
  <si>
    <t xml:space="preserve">SO-25752</t>
  </si>
  <si>
    <t xml:space="preserve">SO-25753</t>
  </si>
  <si>
    <t xml:space="preserve">SO-25754</t>
  </si>
  <si>
    <t xml:space="preserve">SO-25755</t>
  </si>
  <si>
    <t xml:space="preserve">SO-25756</t>
  </si>
  <si>
    <t xml:space="preserve">SO-25757</t>
  </si>
  <si>
    <t xml:space="preserve">SO-25758</t>
  </si>
  <si>
    <t xml:space="preserve">SO-25759</t>
  </si>
  <si>
    <t xml:space="preserve">SO-25760</t>
  </si>
  <si>
    <t xml:space="preserve">SO-25761</t>
  </si>
  <si>
    <t xml:space="preserve">SO-25762</t>
  </si>
  <si>
    <t xml:space="preserve">SO-25763</t>
  </si>
  <si>
    <t xml:space="preserve">SO-25764</t>
  </si>
  <si>
    <t xml:space="preserve">SO-25765</t>
  </si>
  <si>
    <t xml:space="preserve">SO-25766</t>
  </si>
  <si>
    <t xml:space="preserve">SO-25767</t>
  </si>
  <si>
    <t xml:space="preserve">SO-25768</t>
  </si>
  <si>
    <t xml:space="preserve">SO-25769</t>
  </si>
  <si>
    <t xml:space="preserve">SO-25770</t>
  </si>
  <si>
    <t xml:space="preserve">SO-25771</t>
  </si>
  <si>
    <t xml:space="preserve">SO-25772</t>
  </si>
  <si>
    <t xml:space="preserve">SO-25773</t>
  </si>
  <si>
    <t xml:space="preserve">SO-25774</t>
  </si>
  <si>
    <t xml:space="preserve">SO-25775</t>
  </si>
  <si>
    <t xml:space="preserve">SO-25776</t>
  </si>
  <si>
    <t xml:space="preserve">SO-25777</t>
  </si>
  <si>
    <t xml:space="preserve">SO-25778</t>
  </si>
  <si>
    <t xml:space="preserve">SO-25779</t>
  </si>
  <si>
    <t xml:space="preserve">SO-25780</t>
  </si>
  <si>
    <t xml:space="preserve">SO-25781</t>
  </si>
  <si>
    <t xml:space="preserve">SO-25782</t>
  </si>
  <si>
    <t xml:space="preserve">SO-25783</t>
  </si>
  <si>
    <t xml:space="preserve">SO-25784</t>
  </si>
  <si>
    <t xml:space="preserve">SO-25785</t>
  </si>
  <si>
    <t xml:space="preserve">SO-25786</t>
  </si>
  <si>
    <t xml:space="preserve">SO-25787</t>
  </si>
  <si>
    <t xml:space="preserve">SO-25788</t>
  </si>
  <si>
    <t xml:space="preserve">SO-25789</t>
  </si>
  <si>
    <t xml:space="preserve">SO-25790</t>
  </si>
  <si>
    <t xml:space="preserve">SO-25791</t>
  </si>
  <si>
    <t xml:space="preserve">SO-25792</t>
  </si>
  <si>
    <t xml:space="preserve">SO-25793</t>
  </si>
  <si>
    <t xml:space="preserve">SO-25794</t>
  </si>
  <si>
    <t xml:space="preserve">SO-25795</t>
  </si>
  <si>
    <t xml:space="preserve">SO-25796</t>
  </si>
  <si>
    <t xml:space="preserve">SO-25797</t>
  </si>
  <si>
    <t xml:space="preserve">SO-25798</t>
  </si>
  <si>
    <t xml:space="preserve">SO-25799</t>
  </si>
  <si>
    <t xml:space="preserve">SO-25800</t>
  </si>
  <si>
    <t xml:space="preserve">SO-25801</t>
  </si>
  <si>
    <t xml:space="preserve">SO-25802</t>
  </si>
  <si>
    <t xml:space="preserve">SO-25803</t>
  </si>
  <si>
    <t xml:space="preserve">SO-25804</t>
  </si>
  <si>
    <t xml:space="preserve">SO-25805</t>
  </si>
  <si>
    <t xml:space="preserve">SO-25806</t>
  </si>
  <si>
    <t xml:space="preserve">SO-25807</t>
  </si>
  <si>
    <t xml:space="preserve">SO-25808</t>
  </si>
  <si>
    <t xml:space="preserve">SO-25809</t>
  </si>
  <si>
    <t xml:space="preserve">SO-25810</t>
  </si>
  <si>
    <t xml:space="preserve">SO-25811</t>
  </si>
  <si>
    <t xml:space="preserve">SO-25812</t>
  </si>
  <si>
    <t xml:space="preserve">SO-25813</t>
  </si>
  <si>
    <t xml:space="preserve">SO-25814</t>
  </si>
  <si>
    <t xml:space="preserve">SO-25815</t>
  </si>
  <si>
    <t xml:space="preserve">SO-25816</t>
  </si>
  <si>
    <t xml:space="preserve">SO-25817</t>
  </si>
  <si>
    <t xml:space="preserve">SO-25818</t>
  </si>
  <si>
    <t xml:space="preserve">SO-25819</t>
  </si>
  <si>
    <t xml:space="preserve">SO-25820</t>
  </si>
  <si>
    <t xml:space="preserve">SO-25821</t>
  </si>
  <si>
    <t xml:space="preserve">SO-25822</t>
  </si>
  <si>
    <t xml:space="preserve">SO-25823</t>
  </si>
  <si>
    <t xml:space="preserve">SO-25824</t>
  </si>
  <si>
    <t xml:space="preserve">SO-25825</t>
  </si>
  <si>
    <t xml:space="preserve">SO-25826</t>
  </si>
  <si>
    <t xml:space="preserve">SO-25827</t>
  </si>
  <si>
    <t xml:space="preserve">SO-25828</t>
  </si>
  <si>
    <t xml:space="preserve">SO-25829</t>
  </si>
  <si>
    <t xml:space="preserve">SO-25830</t>
  </si>
  <si>
    <t xml:space="preserve">SO-25831</t>
  </si>
  <si>
    <t xml:space="preserve">SO-25832</t>
  </si>
  <si>
    <t xml:space="preserve">SO-25833</t>
  </si>
  <si>
    <t xml:space="preserve">SO-25834</t>
  </si>
  <si>
    <t xml:space="preserve">SO-25835</t>
  </si>
  <si>
    <t xml:space="preserve">SO-25836</t>
  </si>
  <si>
    <t xml:space="preserve">SO-25837</t>
  </si>
  <si>
    <t xml:space="preserve">SO-25838</t>
  </si>
  <si>
    <t xml:space="preserve">SO-25839</t>
  </si>
  <si>
    <t xml:space="preserve">SO-25840</t>
  </si>
  <si>
    <t xml:space="preserve">SO-25841</t>
  </si>
  <si>
    <t xml:space="preserve">SO-25842</t>
  </si>
  <si>
    <t xml:space="preserve">SO-25843</t>
  </si>
  <si>
    <t xml:space="preserve">SO-25844</t>
  </si>
  <si>
    <t xml:space="preserve">SO-25845</t>
  </si>
  <si>
    <t xml:space="preserve">SO-25846</t>
  </si>
  <si>
    <t xml:space="preserve">SO-25847</t>
  </si>
  <si>
    <t xml:space="preserve">SO-25848</t>
  </si>
  <si>
    <t xml:space="preserve">SO-25849</t>
  </si>
  <si>
    <t xml:space="preserve">SO-25850</t>
  </si>
  <si>
    <t xml:space="preserve">SO-25851</t>
  </si>
  <si>
    <t xml:space="preserve">SO-25852</t>
  </si>
  <si>
    <t xml:space="preserve">SO-25853</t>
  </si>
  <si>
    <t xml:space="preserve">SO-25854</t>
  </si>
  <si>
    <t xml:space="preserve">SO-25855</t>
  </si>
  <si>
    <t xml:space="preserve">SO-25856</t>
  </si>
  <si>
    <t xml:space="preserve">SO-25857</t>
  </si>
  <si>
    <t xml:space="preserve">SO-25858</t>
  </si>
  <si>
    <t xml:space="preserve">SO-25859</t>
  </si>
  <si>
    <t xml:space="preserve">SO-25860</t>
  </si>
  <si>
    <t xml:space="preserve">SO-25861</t>
  </si>
  <si>
    <t xml:space="preserve">SO-25862</t>
  </si>
  <si>
    <t xml:space="preserve">SO-25863</t>
  </si>
  <si>
    <t xml:space="preserve">SO-25864</t>
  </si>
  <si>
    <t xml:space="preserve">SO-25865</t>
  </si>
  <si>
    <t xml:space="preserve">SO-25866</t>
  </si>
  <si>
    <t xml:space="preserve">SO-25867</t>
  </si>
  <si>
    <t xml:space="preserve">SO-25868</t>
  </si>
  <si>
    <t xml:space="preserve">SO-25869</t>
  </si>
  <si>
    <t xml:space="preserve">SO-25870</t>
  </si>
  <si>
    <t xml:space="preserve">SO-25871</t>
  </si>
  <si>
    <t xml:space="preserve">SO-25872</t>
  </si>
  <si>
    <t xml:space="preserve">SO-25873</t>
  </si>
  <si>
    <t xml:space="preserve">SO-25874</t>
  </si>
  <si>
    <t xml:space="preserve">SO-25875</t>
  </si>
  <si>
    <t xml:space="preserve">SO-25876</t>
  </si>
  <si>
    <t xml:space="preserve">SO-25877</t>
  </si>
  <si>
    <t xml:space="preserve">SO-25878</t>
  </si>
  <si>
    <t xml:space="preserve">SO-25879</t>
  </si>
  <si>
    <t xml:space="preserve">SO-25880</t>
  </si>
  <si>
    <t xml:space="preserve">SO-25881</t>
  </si>
  <si>
    <t xml:space="preserve">SO-25882</t>
  </si>
  <si>
    <t xml:space="preserve">SO-25883</t>
  </si>
  <si>
    <t xml:space="preserve">SO-25884</t>
  </si>
  <si>
    <t xml:space="preserve">SO-25885</t>
  </si>
  <si>
    <t xml:space="preserve">SO-25886</t>
  </si>
  <si>
    <t xml:space="preserve">SO-25887</t>
  </si>
  <si>
    <t xml:space="preserve">SO-25888</t>
  </si>
  <si>
    <t xml:space="preserve">SO-25889</t>
  </si>
  <si>
    <t xml:space="preserve">SO-25890</t>
  </si>
  <si>
    <t xml:space="preserve">SO-25891</t>
  </si>
  <si>
    <t xml:space="preserve">SO-25892</t>
  </si>
  <si>
    <t xml:space="preserve">SO-25893</t>
  </si>
  <si>
    <t xml:space="preserve">SO-25894</t>
  </si>
  <si>
    <t xml:space="preserve">SO-25895</t>
  </si>
  <si>
    <t xml:space="preserve">SO-25896</t>
  </si>
  <si>
    <t xml:space="preserve">SO-25897</t>
  </si>
  <si>
    <t xml:space="preserve">SO-25898</t>
  </si>
  <si>
    <t xml:space="preserve">SO-25899</t>
  </si>
  <si>
    <t xml:space="preserve">SO-25900</t>
  </si>
  <si>
    <t xml:space="preserve">SO-25901</t>
  </si>
  <si>
    <t xml:space="preserve">SO-25902</t>
  </si>
  <si>
    <t xml:space="preserve">SO-25903</t>
  </si>
  <si>
    <t xml:space="preserve">SO-25904</t>
  </si>
  <si>
    <t xml:space="preserve">SO-25905</t>
  </si>
  <si>
    <t xml:space="preserve">SO-25906</t>
  </si>
  <si>
    <t xml:space="preserve">SO-25907</t>
  </si>
  <si>
    <t xml:space="preserve">SO-25908</t>
  </si>
  <si>
    <t xml:space="preserve">SO-25909</t>
  </si>
  <si>
    <t xml:space="preserve">SO-25910</t>
  </si>
  <si>
    <t xml:space="preserve">SO-25911</t>
  </si>
  <si>
    <t xml:space="preserve">SO-25912</t>
  </si>
  <si>
    <t xml:space="preserve">SO-25913</t>
  </si>
  <si>
    <t xml:space="preserve">SO-25914</t>
  </si>
  <si>
    <t xml:space="preserve">SO-25915</t>
  </si>
  <si>
    <t xml:space="preserve">SO-25916</t>
  </si>
  <si>
    <t xml:space="preserve">SO-25917</t>
  </si>
  <si>
    <t xml:space="preserve">SO-25918</t>
  </si>
  <si>
    <t xml:space="preserve">SO-25919</t>
  </si>
  <si>
    <t xml:space="preserve">SO-25920</t>
  </si>
  <si>
    <t xml:space="preserve">SO-25921</t>
  </si>
  <si>
    <t xml:space="preserve">SO-25922</t>
  </si>
  <si>
    <t xml:space="preserve">SO-25923</t>
  </si>
  <si>
    <t xml:space="preserve">SO-25924</t>
  </si>
  <si>
    <t xml:space="preserve">SO-25925</t>
  </si>
  <si>
    <t xml:space="preserve">SO-25926</t>
  </si>
  <si>
    <t xml:space="preserve">SO-25927</t>
  </si>
  <si>
    <t xml:space="preserve">SO-25928</t>
  </si>
  <si>
    <t xml:space="preserve">SO-25929</t>
  </si>
  <si>
    <t xml:space="preserve">SO-25930</t>
  </si>
  <si>
    <t xml:space="preserve">SO-25931</t>
  </si>
  <si>
    <t xml:space="preserve">SO-25932</t>
  </si>
  <si>
    <t xml:space="preserve">SO-25933</t>
  </si>
  <si>
    <t xml:space="preserve">SO-25934</t>
  </si>
  <si>
    <t xml:space="preserve">SO-25935</t>
  </si>
  <si>
    <t xml:space="preserve">SO-25936</t>
  </si>
  <si>
    <t xml:space="preserve">SO-25937</t>
  </si>
  <si>
    <t xml:space="preserve">SO-25938</t>
  </si>
  <si>
    <t xml:space="preserve">SO-25939</t>
  </si>
  <si>
    <t xml:space="preserve">SO-25940</t>
  </si>
  <si>
    <t xml:space="preserve">SO-25941</t>
  </si>
  <si>
    <t xml:space="preserve">SO-25942</t>
  </si>
  <si>
    <t xml:space="preserve">SO-25943</t>
  </si>
  <si>
    <t xml:space="preserve">SO-25944</t>
  </si>
  <si>
    <t xml:space="preserve">SO-25945</t>
  </si>
  <si>
    <t xml:space="preserve">SO-25946</t>
  </si>
  <si>
    <t xml:space="preserve">SO-25947</t>
  </si>
  <si>
    <t xml:space="preserve">SO-25948</t>
  </si>
  <si>
    <t xml:space="preserve">SO-25949</t>
  </si>
  <si>
    <t xml:space="preserve">SO-25950</t>
  </si>
  <si>
    <t xml:space="preserve">SO-25951</t>
  </si>
  <si>
    <t xml:space="preserve">SO-25952</t>
  </si>
  <si>
    <t xml:space="preserve">SO-25953</t>
  </si>
  <si>
    <t xml:space="preserve">SO-25954</t>
  </si>
  <si>
    <t xml:space="preserve">SO-25955</t>
  </si>
  <si>
    <t xml:space="preserve">SO-25956</t>
  </si>
  <si>
    <t xml:space="preserve">SO-25957</t>
  </si>
  <si>
    <t xml:space="preserve">SO-25958</t>
  </si>
  <si>
    <t xml:space="preserve">SO-25959</t>
  </si>
  <si>
    <t xml:space="preserve">SO-25960</t>
  </si>
  <si>
    <t xml:space="preserve">SO-25961</t>
  </si>
  <si>
    <t xml:space="preserve">SO-25962</t>
  </si>
  <si>
    <t xml:space="preserve">SO-25963</t>
  </si>
  <si>
    <t xml:space="preserve">SO-25964</t>
  </si>
  <si>
    <t xml:space="preserve">SO-25965</t>
  </si>
  <si>
    <t xml:space="preserve">SO-25966</t>
  </si>
  <si>
    <t xml:space="preserve">SO-25967</t>
  </si>
  <si>
    <t xml:space="preserve">SO-25968</t>
  </si>
  <si>
    <t xml:space="preserve">SO-25969</t>
  </si>
  <si>
    <t xml:space="preserve">SO-25970</t>
  </si>
  <si>
    <t xml:space="preserve">SO-25971</t>
  </si>
  <si>
    <t xml:space="preserve">SO-25972</t>
  </si>
  <si>
    <t xml:space="preserve">SO-25973</t>
  </si>
  <si>
    <t xml:space="preserve">SO-25974</t>
  </si>
  <si>
    <t xml:space="preserve">SO-25975</t>
  </si>
  <si>
    <t xml:space="preserve">SO-25976</t>
  </si>
  <si>
    <t xml:space="preserve">SO-25977</t>
  </si>
  <si>
    <t xml:space="preserve">SO-25978</t>
  </si>
  <si>
    <t xml:space="preserve">SO-25979</t>
  </si>
  <si>
    <t xml:space="preserve">SO-25980</t>
  </si>
  <si>
    <t xml:space="preserve">SO-25981</t>
  </si>
  <si>
    <t xml:space="preserve">SO-25982</t>
  </si>
  <si>
    <t xml:space="preserve">SO-25983</t>
  </si>
  <si>
    <t xml:space="preserve">SO-25984</t>
  </si>
  <si>
    <t xml:space="preserve">SO-25985</t>
  </si>
  <si>
    <t xml:space="preserve">SO-25986</t>
  </si>
  <si>
    <t xml:space="preserve">SO-25987</t>
  </si>
  <si>
    <t xml:space="preserve">SO-25988</t>
  </si>
  <si>
    <t xml:space="preserve">SO-25989</t>
  </si>
  <si>
    <t xml:space="preserve">SO-25990</t>
  </si>
  <si>
    <t xml:space="preserve">SO-25991</t>
  </si>
  <si>
    <t xml:space="preserve">SO-25992</t>
  </si>
  <si>
    <t xml:space="preserve">SO-25993</t>
  </si>
  <si>
    <t xml:space="preserve">SO-25994</t>
  </si>
  <si>
    <t xml:space="preserve">SO-25995</t>
  </si>
  <si>
    <t xml:space="preserve">SO-25996</t>
  </si>
  <si>
    <t xml:space="preserve">SO-25997</t>
  </si>
  <si>
    <t xml:space="preserve">SO-25998</t>
  </si>
  <si>
    <t xml:space="preserve">SO-25999</t>
  </si>
  <si>
    <t xml:space="preserve">SO-26000</t>
  </si>
  <si>
    <t xml:space="preserve">SO-26001</t>
  </si>
  <si>
    <t xml:space="preserve">SO-26002</t>
  </si>
  <si>
    <t xml:space="preserve">SO-26003</t>
  </si>
  <si>
    <t xml:space="preserve">SO-26004</t>
  </si>
  <si>
    <t xml:space="preserve">SO-26005</t>
  </si>
  <si>
    <t xml:space="preserve">SO-26006</t>
  </si>
  <si>
    <t xml:space="preserve">SO-26007</t>
  </si>
  <si>
    <t xml:space="preserve">SO-26008</t>
  </si>
  <si>
    <t xml:space="preserve">SO-26009</t>
  </si>
  <si>
    <t xml:space="preserve">SO-26010</t>
  </si>
  <si>
    <t xml:space="preserve">SO-26011</t>
  </si>
  <si>
    <t xml:space="preserve">SO-26012</t>
  </si>
  <si>
    <t xml:space="preserve">SO-26013</t>
  </si>
  <si>
    <t xml:space="preserve">SO-26014</t>
  </si>
  <si>
    <t xml:space="preserve">SO-26015</t>
  </si>
  <si>
    <t xml:space="preserve">SO-26016</t>
  </si>
  <si>
    <t xml:space="preserve">SO-26017</t>
  </si>
  <si>
    <t xml:space="preserve">SO-26018</t>
  </si>
  <si>
    <t xml:space="preserve">SO-26019</t>
  </si>
  <si>
    <t xml:space="preserve">SO-26020</t>
  </si>
  <si>
    <t xml:space="preserve">SO-26021</t>
  </si>
  <si>
    <t xml:space="preserve">SO-26022</t>
  </si>
  <si>
    <t xml:space="preserve">SO-26023</t>
  </si>
  <si>
    <t xml:space="preserve">SO-26024</t>
  </si>
  <si>
    <t xml:space="preserve">SO-26025</t>
  </si>
  <si>
    <t xml:space="preserve">SO-26026</t>
  </si>
  <si>
    <t xml:space="preserve">SO-26027</t>
  </si>
  <si>
    <t xml:space="preserve">SO-26028</t>
  </si>
  <si>
    <t xml:space="preserve">SO-26029</t>
  </si>
  <si>
    <t xml:space="preserve">SO-26030</t>
  </si>
  <si>
    <t xml:space="preserve">SO-26031</t>
  </si>
  <si>
    <t xml:space="preserve">SO-26032</t>
  </si>
  <si>
    <t xml:space="preserve">SO-26033</t>
  </si>
  <si>
    <t xml:space="preserve">SO-26034</t>
  </si>
  <si>
    <t xml:space="preserve">SO-26035</t>
  </si>
  <si>
    <t xml:space="preserve">SO-26036</t>
  </si>
  <si>
    <t xml:space="preserve">SO-26037</t>
  </si>
  <si>
    <t xml:space="preserve">SO-26038</t>
  </si>
  <si>
    <t xml:space="preserve">SO-26039</t>
  </si>
  <si>
    <t xml:space="preserve">SO-26040</t>
  </si>
  <si>
    <t xml:space="preserve">SO-26041</t>
  </si>
  <si>
    <t xml:space="preserve">SO-26042</t>
  </si>
  <si>
    <t xml:space="preserve">SO-26043</t>
  </si>
  <si>
    <t xml:space="preserve">SO-26044</t>
  </si>
  <si>
    <t xml:space="preserve">SO-26045</t>
  </si>
  <si>
    <t xml:space="preserve">SO-26046</t>
  </si>
  <si>
    <t xml:space="preserve">SO-26047</t>
  </si>
  <si>
    <t xml:space="preserve">SO-26048</t>
  </si>
  <si>
    <t xml:space="preserve">SO-26049</t>
  </si>
  <si>
    <t xml:space="preserve">SO-26050</t>
  </si>
  <si>
    <t xml:space="preserve">SO-26051</t>
  </si>
  <si>
    <t xml:space="preserve">SO-26052</t>
  </si>
  <si>
    <t xml:space="preserve">SO-26053</t>
  </si>
  <si>
    <t xml:space="preserve">SO-26054</t>
  </si>
  <si>
    <t xml:space="preserve">SO-26055</t>
  </si>
  <si>
    <t xml:space="preserve">SO-26056</t>
  </si>
  <si>
    <t xml:space="preserve">SO-26057</t>
  </si>
  <si>
    <t xml:space="preserve">SO-26058</t>
  </si>
  <si>
    <t xml:space="preserve">SO-26059</t>
  </si>
  <si>
    <t xml:space="preserve">SO-26060</t>
  </si>
  <si>
    <t xml:space="preserve">SO-26061</t>
  </si>
  <si>
    <t xml:space="preserve">SO-26062</t>
  </si>
  <si>
    <t xml:space="preserve">SO-26063</t>
  </si>
  <si>
    <t xml:space="preserve">SO-26064</t>
  </si>
  <si>
    <t xml:space="preserve">SO-26065</t>
  </si>
  <si>
    <t xml:space="preserve">SO-26066</t>
  </si>
  <si>
    <t xml:space="preserve">SO-26067</t>
  </si>
  <si>
    <t xml:space="preserve">SO-26068</t>
  </si>
  <si>
    <t xml:space="preserve">SO-26069</t>
  </si>
  <si>
    <t xml:space="preserve">SO-26070</t>
  </si>
  <si>
    <t xml:space="preserve">SO-26071</t>
  </si>
  <si>
    <t xml:space="preserve">SO-26072</t>
  </si>
  <si>
    <t xml:space="preserve">SO-26073</t>
  </si>
  <si>
    <t xml:space="preserve">SO-26074</t>
  </si>
  <si>
    <t xml:space="preserve">SO-26075</t>
  </si>
  <si>
    <t xml:space="preserve">SO-26076</t>
  </si>
  <si>
    <t xml:space="preserve">SO-26077</t>
  </si>
  <si>
    <t xml:space="preserve">SO-26078</t>
  </si>
  <si>
    <t xml:space="preserve">SO-26079</t>
  </si>
  <si>
    <t xml:space="preserve">SO-26080</t>
  </si>
  <si>
    <t xml:space="preserve">SO-26081</t>
  </si>
  <si>
    <t xml:space="preserve">SO-26082</t>
  </si>
  <si>
    <t xml:space="preserve">SO-26083</t>
  </si>
  <si>
    <t xml:space="preserve">SO-26084</t>
  </si>
  <si>
    <t xml:space="preserve">SO-26085</t>
  </si>
  <si>
    <t xml:space="preserve">SO-26086</t>
  </si>
  <si>
    <t xml:space="preserve">SO-26087</t>
  </si>
  <si>
    <t xml:space="preserve">SO-26088</t>
  </si>
  <si>
    <t xml:space="preserve">SO-26089</t>
  </si>
  <si>
    <t xml:space="preserve">SO-26090</t>
  </si>
  <si>
    <t xml:space="preserve">SO-26091</t>
  </si>
  <si>
    <t xml:space="preserve">SO-26092</t>
  </si>
  <si>
    <t xml:space="preserve">SO-26093</t>
  </si>
  <si>
    <t xml:space="preserve">SO-26094</t>
  </si>
  <si>
    <t xml:space="preserve">SO-26095</t>
  </si>
  <si>
    <t xml:space="preserve">SO-26096</t>
  </si>
  <si>
    <t xml:space="preserve">SO-26097</t>
  </si>
  <si>
    <t xml:space="preserve">SO-26098</t>
  </si>
  <si>
    <t xml:space="preserve">SO-26099</t>
  </si>
  <si>
    <t xml:space="preserve">SO-26100</t>
  </si>
  <si>
    <t xml:space="preserve">SO-26101</t>
  </si>
  <si>
    <t xml:space="preserve">SO-26102</t>
  </si>
  <si>
    <t xml:space="preserve">SO-26103</t>
  </si>
  <si>
    <t xml:space="preserve">SO-26104</t>
  </si>
  <si>
    <t xml:space="preserve">SO-26105</t>
  </si>
  <si>
    <t xml:space="preserve">SO-26106</t>
  </si>
  <si>
    <t xml:space="preserve">SO-26107</t>
  </si>
  <si>
    <t xml:space="preserve">SO-26108</t>
  </si>
  <si>
    <t xml:space="preserve">SO-26109</t>
  </si>
  <si>
    <t xml:space="preserve">SO-26110</t>
  </si>
  <si>
    <t xml:space="preserve">SO-26111</t>
  </si>
  <si>
    <t xml:space="preserve">SO-26112</t>
  </si>
  <si>
    <t xml:space="preserve">SO-26113</t>
  </si>
  <si>
    <t xml:space="preserve">SO-26114</t>
  </si>
  <si>
    <t xml:space="preserve">SO-26115</t>
  </si>
  <si>
    <t xml:space="preserve">SO-26116</t>
  </si>
  <si>
    <t xml:space="preserve">SO-26117</t>
  </si>
  <si>
    <t xml:space="preserve">SO-26118</t>
  </si>
  <si>
    <t xml:space="preserve">SO-26119</t>
  </si>
  <si>
    <t xml:space="preserve">SO-26120</t>
  </si>
  <si>
    <t xml:space="preserve">SO-26121</t>
  </si>
  <si>
    <t xml:space="preserve">SO-26122</t>
  </si>
  <si>
    <t xml:space="preserve">SO-26123</t>
  </si>
  <si>
    <t xml:space="preserve">SO-26124</t>
  </si>
  <si>
    <t xml:space="preserve">SO-26125</t>
  </si>
  <si>
    <t xml:space="preserve">SO-26126</t>
  </si>
  <si>
    <t xml:space="preserve">SO-26127</t>
  </si>
  <si>
    <t xml:space="preserve">SO-26128</t>
  </si>
  <si>
    <t xml:space="preserve">SO-26129</t>
  </si>
  <si>
    <t xml:space="preserve">SO-26130</t>
  </si>
  <si>
    <t xml:space="preserve">SO-26131</t>
  </si>
  <si>
    <t xml:space="preserve">SO-26132</t>
  </si>
  <si>
    <t xml:space="preserve">SO-26133</t>
  </si>
  <si>
    <t xml:space="preserve">SO-26134</t>
  </si>
  <si>
    <t xml:space="preserve">SO-26135</t>
  </si>
  <si>
    <t xml:space="preserve">SO-26136</t>
  </si>
  <si>
    <t xml:space="preserve">SO-26137</t>
  </si>
  <si>
    <t xml:space="preserve">SO-26138</t>
  </si>
  <si>
    <t xml:space="preserve">SO-26139</t>
  </si>
  <si>
    <t xml:space="preserve">SO-26140</t>
  </si>
  <si>
    <t xml:space="preserve">SO-26141</t>
  </si>
  <si>
    <t xml:space="preserve">SO-26142</t>
  </si>
  <si>
    <t xml:space="preserve">SO-26143</t>
  </si>
  <si>
    <t xml:space="preserve">SO-26144</t>
  </si>
  <si>
    <t xml:space="preserve">SO-26145</t>
  </si>
  <si>
    <t xml:space="preserve">SO-26146</t>
  </si>
  <si>
    <t xml:space="preserve">SO-26147</t>
  </si>
  <si>
    <t xml:space="preserve">SO-26148</t>
  </si>
  <si>
    <t xml:space="preserve">SO-26149</t>
  </si>
  <si>
    <t xml:space="preserve">SO-26150</t>
  </si>
  <si>
    <t xml:space="preserve">SO-26151</t>
  </si>
  <si>
    <t xml:space="preserve">SO-26152</t>
  </si>
  <si>
    <t xml:space="preserve">SO-26153</t>
  </si>
  <si>
    <t xml:space="preserve">SO-26154</t>
  </si>
  <si>
    <t xml:space="preserve">SO-26155</t>
  </si>
  <si>
    <t xml:space="preserve">SO-26156</t>
  </si>
  <si>
    <t xml:space="preserve">SO-26157</t>
  </si>
  <si>
    <t xml:space="preserve">SO-26158</t>
  </si>
  <si>
    <t xml:space="preserve">SO-26159</t>
  </si>
  <si>
    <t xml:space="preserve">SO-26160</t>
  </si>
  <si>
    <t xml:space="preserve">SO-26161</t>
  </si>
  <si>
    <t xml:space="preserve">SO-26162</t>
  </si>
  <si>
    <t xml:space="preserve">SO-26163</t>
  </si>
  <si>
    <t xml:space="preserve">SO-26164</t>
  </si>
  <si>
    <t xml:space="preserve">SO-26165</t>
  </si>
  <si>
    <t xml:space="preserve">SO-26166</t>
  </si>
  <si>
    <t xml:space="preserve">SO-26167</t>
  </si>
  <si>
    <t xml:space="preserve">SO-26168</t>
  </si>
  <si>
    <t xml:space="preserve">SO-26169</t>
  </si>
  <si>
    <t xml:space="preserve">SO-26170</t>
  </si>
  <si>
    <t xml:space="preserve">SO-26171</t>
  </si>
  <si>
    <t xml:space="preserve">SO-26172</t>
  </si>
  <si>
    <t xml:space="preserve">SO-26173</t>
  </si>
  <si>
    <t xml:space="preserve">SO-26174</t>
  </si>
  <si>
    <t xml:space="preserve">SO-26175</t>
  </si>
  <si>
    <t xml:space="preserve">SO-26176</t>
  </si>
  <si>
    <t xml:space="preserve">SO-26177</t>
  </si>
  <si>
    <t xml:space="preserve">SO-26178</t>
  </si>
  <si>
    <t xml:space="preserve">SO-26179</t>
  </si>
  <si>
    <t xml:space="preserve">SO-26180</t>
  </si>
  <si>
    <t xml:space="preserve">SO-26181</t>
  </si>
  <si>
    <t xml:space="preserve">SO-26182</t>
  </si>
  <si>
    <t xml:space="preserve">SO-26183</t>
  </si>
  <si>
    <t xml:space="preserve">SO-26184</t>
  </si>
  <si>
    <t xml:space="preserve">SO-26185</t>
  </si>
  <si>
    <t xml:space="preserve">SO-26186</t>
  </si>
  <si>
    <t xml:space="preserve">SO-26187</t>
  </si>
  <si>
    <t xml:space="preserve">SO-26188</t>
  </si>
  <si>
    <t xml:space="preserve">SO-26189</t>
  </si>
  <si>
    <t xml:space="preserve">SO-26190</t>
  </si>
  <si>
    <t xml:space="preserve">SO-26191</t>
  </si>
  <si>
    <t xml:space="preserve">SO-26192</t>
  </si>
  <si>
    <t xml:space="preserve">SO-26193</t>
  </si>
  <si>
    <t xml:space="preserve">SO-26194</t>
  </si>
  <si>
    <t xml:space="preserve">SO-26195</t>
  </si>
  <si>
    <t xml:space="preserve">SO-26196</t>
  </si>
  <si>
    <t xml:space="preserve">SO-26197</t>
  </si>
  <si>
    <t xml:space="preserve">SO-26198</t>
  </si>
  <si>
    <t xml:space="preserve">SO-26199</t>
  </si>
  <si>
    <t xml:space="preserve">SO-26200</t>
  </si>
  <si>
    <t xml:space="preserve">SO-26201</t>
  </si>
  <si>
    <t xml:space="preserve">SO-26202</t>
  </si>
  <si>
    <t xml:space="preserve">SO-26203</t>
  </si>
  <si>
    <t xml:space="preserve">SO-26204</t>
  </si>
  <si>
    <t xml:space="preserve">SO-26205</t>
  </si>
  <si>
    <t xml:space="preserve">SO-26206</t>
  </si>
  <si>
    <t xml:space="preserve">SO-26207</t>
  </si>
  <si>
    <t xml:space="preserve">SO-26208</t>
  </si>
  <si>
    <t xml:space="preserve">SO-26209</t>
  </si>
  <si>
    <t xml:space="preserve">SO-26210</t>
  </si>
  <si>
    <t xml:space="preserve">SO-26211</t>
  </si>
  <si>
    <t xml:space="preserve">SO-26212</t>
  </si>
  <si>
    <t xml:space="preserve">SO-26213</t>
  </si>
  <si>
    <t xml:space="preserve">SO-26214</t>
  </si>
  <si>
    <t xml:space="preserve">SO-26215</t>
  </si>
  <si>
    <t xml:space="preserve">SO-26216</t>
  </si>
  <si>
    <t xml:space="preserve">SO-26217</t>
  </si>
  <si>
    <t xml:space="preserve">SO-26218</t>
  </si>
  <si>
    <t xml:space="preserve">SO-26219</t>
  </si>
  <si>
    <t xml:space="preserve">SO-26220</t>
  </si>
  <si>
    <t xml:space="preserve">SO-26221</t>
  </si>
  <si>
    <t xml:space="preserve">SO-26222</t>
  </si>
  <si>
    <t xml:space="preserve">SO-26223</t>
  </si>
  <si>
    <t xml:space="preserve">SO-26224</t>
  </si>
  <si>
    <t xml:space="preserve">SO-26225</t>
  </si>
  <si>
    <t xml:space="preserve">SO-26226</t>
  </si>
  <si>
    <t xml:space="preserve">SO-26227</t>
  </si>
  <si>
    <t xml:space="preserve">SO-26228</t>
  </si>
  <si>
    <t xml:space="preserve">SO-26229</t>
  </si>
  <si>
    <t xml:space="preserve">SO-26230</t>
  </si>
  <si>
    <t xml:space="preserve">SO-26231</t>
  </si>
  <si>
    <t xml:space="preserve">SO-26232</t>
  </si>
  <si>
    <t xml:space="preserve">SO-26233</t>
  </si>
  <si>
    <t xml:space="preserve">SO-26234</t>
  </si>
  <si>
    <t xml:space="preserve">SO-26235</t>
  </si>
  <si>
    <t xml:space="preserve">SO-26236</t>
  </si>
  <si>
    <t xml:space="preserve">SO-26237</t>
  </si>
  <si>
    <t xml:space="preserve">SO-26238</t>
  </si>
  <si>
    <t xml:space="preserve">SO-26239</t>
  </si>
  <si>
    <t xml:space="preserve">SO-26240</t>
  </si>
  <si>
    <t xml:space="preserve">SO-26241</t>
  </si>
  <si>
    <t xml:space="preserve">SO-26242</t>
  </si>
  <si>
    <t xml:space="preserve">SO-26243</t>
  </si>
  <si>
    <t xml:space="preserve">SO-26244</t>
  </si>
  <si>
    <t xml:space="preserve">SO-26245</t>
  </si>
  <si>
    <t xml:space="preserve">SO-26246</t>
  </si>
  <si>
    <t xml:space="preserve">SO-26247</t>
  </si>
  <si>
    <t xml:space="preserve">SO-26248</t>
  </si>
  <si>
    <t xml:space="preserve">SO-26249</t>
  </si>
  <si>
    <t xml:space="preserve">SO-26250</t>
  </si>
  <si>
    <t xml:space="preserve">SO-26251</t>
  </si>
  <si>
    <t xml:space="preserve">SO-26252</t>
  </si>
  <si>
    <t xml:space="preserve">SO-26253</t>
  </si>
  <si>
    <t xml:space="preserve">SO-26254</t>
  </si>
  <si>
    <t xml:space="preserve">SO-26255</t>
  </si>
  <si>
    <t xml:space="preserve">SO-26256</t>
  </si>
  <si>
    <t xml:space="preserve">SO-26257</t>
  </si>
  <si>
    <t xml:space="preserve">SO-26258</t>
  </si>
  <si>
    <t xml:space="preserve">SO-26259</t>
  </si>
  <si>
    <t xml:space="preserve">SO-26260</t>
  </si>
  <si>
    <t xml:space="preserve">SO-26261</t>
  </si>
  <si>
    <t xml:space="preserve">SO-26262</t>
  </si>
  <si>
    <t xml:space="preserve">SO-26263</t>
  </si>
  <si>
    <t xml:space="preserve">SO-26264</t>
  </si>
  <si>
    <t xml:space="preserve">SO-26265</t>
  </si>
  <si>
    <t xml:space="preserve">SO-26266</t>
  </si>
  <si>
    <t xml:space="preserve">SO-26267</t>
  </si>
  <si>
    <t xml:space="preserve">SO-26268</t>
  </si>
  <si>
    <t xml:space="preserve">SO-26269</t>
  </si>
  <si>
    <t xml:space="preserve">SO-26270</t>
  </si>
  <si>
    <t xml:space="preserve">SO-26271</t>
  </si>
  <si>
    <t xml:space="preserve">SO-26272</t>
  </si>
  <si>
    <t xml:space="preserve">SO-26273</t>
  </si>
  <si>
    <t xml:space="preserve">SO-26274</t>
  </si>
  <si>
    <t xml:space="preserve">SO-26275</t>
  </si>
  <si>
    <t xml:space="preserve">SO-26276</t>
  </si>
  <si>
    <t xml:space="preserve">SO-26277</t>
  </si>
  <si>
    <t xml:space="preserve">SO-26278</t>
  </si>
  <si>
    <t xml:space="preserve">SO-26279</t>
  </si>
  <si>
    <t xml:space="preserve">SO-26280</t>
  </si>
  <si>
    <t xml:space="preserve">SO-26281</t>
  </si>
  <si>
    <t xml:space="preserve">SO-26282</t>
  </si>
  <si>
    <t xml:space="preserve">SO-26283</t>
  </si>
  <si>
    <t xml:space="preserve">SO-26284</t>
  </si>
  <si>
    <t xml:space="preserve">SO-26285</t>
  </si>
  <si>
    <t xml:space="preserve">SO-26286</t>
  </si>
  <si>
    <t xml:space="preserve">SO-26287</t>
  </si>
  <si>
    <t xml:space="preserve">SO-26288</t>
  </si>
  <si>
    <t xml:space="preserve">SO-26289</t>
  </si>
  <si>
    <t xml:space="preserve">SO-26290</t>
  </si>
  <si>
    <t xml:space="preserve">SO-26291</t>
  </si>
  <si>
    <t xml:space="preserve">SO-26292</t>
  </si>
  <si>
    <t xml:space="preserve">SO-26293</t>
  </si>
  <si>
    <t xml:space="preserve">SO-26294</t>
  </si>
  <si>
    <t xml:space="preserve">SO-26295</t>
  </si>
  <si>
    <t xml:space="preserve">SO-26296</t>
  </si>
  <si>
    <t xml:space="preserve">SO-26297</t>
  </si>
  <si>
    <t xml:space="preserve">SO-26298</t>
  </si>
  <si>
    <t xml:space="preserve">SO-26299</t>
  </si>
  <si>
    <t xml:space="preserve">SO-26300</t>
  </si>
  <si>
    <t xml:space="preserve">SO-26301</t>
  </si>
  <si>
    <t xml:space="preserve">SO-26302</t>
  </si>
  <si>
    <t xml:space="preserve">SO-26303</t>
  </si>
  <si>
    <t xml:space="preserve">SO-26304</t>
  </si>
  <si>
    <t xml:space="preserve">SO-26305</t>
  </si>
  <si>
    <t xml:space="preserve">SO-26306</t>
  </si>
  <si>
    <t xml:space="preserve">SO-26307</t>
  </si>
  <si>
    <t xml:space="preserve">SO-26308</t>
  </si>
  <si>
    <t xml:space="preserve">SO-26309</t>
  </si>
  <si>
    <t xml:space="preserve">SO-26310</t>
  </si>
  <si>
    <t xml:space="preserve">SO-26311</t>
  </si>
  <si>
    <t xml:space="preserve">SO-26312</t>
  </si>
  <si>
    <t xml:space="preserve">SO-26313</t>
  </si>
  <si>
    <t xml:space="preserve">SO-26314</t>
  </si>
  <si>
    <t xml:space="preserve">SO-26315</t>
  </si>
  <si>
    <t xml:space="preserve">SO-26316</t>
  </si>
  <si>
    <t xml:space="preserve">SO-26317</t>
  </si>
  <si>
    <t xml:space="preserve">SO-26318</t>
  </si>
  <si>
    <t xml:space="preserve">SO-26319</t>
  </si>
  <si>
    <t xml:space="preserve">SO-26320</t>
  </si>
  <si>
    <t xml:space="preserve">SO-26321</t>
  </si>
  <si>
    <t xml:space="preserve">SO-26322</t>
  </si>
  <si>
    <t xml:space="preserve">SO-26323</t>
  </si>
  <si>
    <t xml:space="preserve">SO-26324</t>
  </si>
  <si>
    <t xml:space="preserve">SO-26325</t>
  </si>
  <si>
    <t xml:space="preserve">SO-26326</t>
  </si>
  <si>
    <t xml:space="preserve">SO-26327</t>
  </si>
  <si>
    <t xml:space="preserve">SO-26328</t>
  </si>
  <si>
    <t xml:space="preserve">SO-26329</t>
  </si>
  <si>
    <t xml:space="preserve">SO-26330</t>
  </si>
  <si>
    <t xml:space="preserve">List Price (EUR)</t>
  </si>
  <si>
    <t xml:space="preserve">Unit Cost (EUR)</t>
  </si>
  <si>
    <t xml:space="preserve">List Margin %</t>
  </si>
  <si>
    <t xml:space="preserve">Sensor Hub S</t>
  </si>
  <si>
    <t xml:space="preserve">Hardware</t>
  </si>
  <si>
    <t xml:space="preserve">Sensor Hub Pro</t>
  </si>
  <si>
    <t xml:space="preserve">Edge Gateway</t>
  </si>
  <si>
    <t xml:space="preserve">Analytics Basic</t>
  </si>
  <si>
    <t xml:space="preserve">Software</t>
  </si>
  <si>
    <t xml:space="preserve">Analytics Plus</t>
  </si>
  <si>
    <t xml:space="preserve">Install Service</t>
  </si>
  <si>
    <t xml:space="preserve">Services</t>
  </si>
  <si>
    <t xml:space="preserve">Premium Support</t>
  </si>
  <si>
    <t xml:space="preserve">Mounting Kit</t>
  </si>
  <si>
    <t xml:space="preserve">Accessories</t>
  </si>
  <si>
    <t xml:space="preserve">Quarter</t>
  </si>
  <si>
    <t xml:space="preserve">Start</t>
  </si>
  <si>
    <t xml:space="preserve">End</t>
  </si>
  <si>
    <t xml:space="preserve">Target (EUR)</t>
  </si>
  <si>
    <t xml:space="preserve">Actual Revenue (EUR)</t>
  </si>
  <si>
    <t xml:space="preserve">Attainment %</t>
  </si>
  <si>
    <t xml:space="preserve">Gap (EUR)</t>
  </si>
  <si>
    <t xml:space="preserve">2025-Q1</t>
  </si>
  <si>
    <t xml:space="preserve">2025-Q2</t>
  </si>
  <si>
    <t xml:space="preserve">2025-Q3</t>
  </si>
  <si>
    <t xml:space="preserve">2025-Q4</t>
  </si>
  <si>
    <t xml:space="preserve">2026-Q1</t>
  </si>
  <si>
    <t xml:space="preserve">2026-Q2</t>
  </si>
  <si>
    <t xml:space="preserve">Sample sales data for the agent sandbox Excel demo (fictional)</t>
  </si>
  <si>
    <t xml:space="preserve">Orders: one row per order, Jan 2025 - Jun 2026. Revenue = Units x Unit Price x (1 - Discount %).</t>
  </si>
  <si>
    <t xml:space="preserve">Products: catalog with list prices and unit costs. Orders look up name, category, price and cost here.</t>
  </si>
  <si>
    <t xml:space="preserve">Targets: quarterly revenue targets per region, with actuals summed from Orders.</t>
  </si>
  <si>
    <t xml:space="preserve">Color code: blue = input values, green = values pulled from another sheet, black = formulas.</t>
  </si>
  <si>
    <t xml:space="preserve">All names, prices, costs, orders and targets are fictional sample data.</t>
  </si>
  <si>
    <t xml:space="preserve">Questions to try with excel_agent.py:</t>
  </si>
  <si>
    <t xml:space="preserve">  Which region had the highest revenue, and by how much?</t>
  </si>
  <si>
    <t xml:space="preserve">  Which regions missed their quarterly targets most often?</t>
  </si>
  <si>
    <t xml:space="preserve">  Which product has the lowest gross margin, and why?</t>
  </si>
  <si>
    <t xml:space="preserve">  How does revenue change by month? Is there seasonality?</t>
  </si>
  <si>
    <t xml:space="preserve">  Do partner orders earn less margin than direct ones?</t>
  </si>
  <si>
    <t xml:space="preserve">  Which sales rep generated the most gross margin in 2025?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</si>
</sst>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€#,##0.00;&quot;(€&quot;#,##0.00\);\-"/>
    <numFmt numFmtId="167" formatCode="0.0%;\(0.0%\);\-"/>
    <numFmt numFmtId="168" formatCode="\€#,##0;&quot;(€&quot;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1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45658</v>
      </c>
      <c r="C2" s="2" t="s">
        <v>16</v>
      </c>
      <c r="D2" s="2" t="s">
        <v>17</v>
      </c>
      <c r="E2" s="2" t="s">
        <v>18</v>
      </c>
      <c r="F2" s="4" t="str">
        <f aca="false">INDEX(Products!$B$2:$B$9,MATCH(E2,Products!$A$2:$A$9,0))</f>
        <v>Sensor Hub Pro</v>
      </c>
      <c r="G2" s="4" t="str">
        <f aca="false">INDEX(Products!$C$2:$C$9,MATCH(E2,Products!$A$2:$A$9,0))</f>
        <v>Hardware</v>
      </c>
      <c r="H2" s="5" t="n">
        <v>1</v>
      </c>
      <c r="I2" s="6" t="n">
        <f aca="false">INDEX(Products!$D$2:$D$9,MATCH(E2,Products!$A$2:$A$9,0))</f>
        <v>349</v>
      </c>
      <c r="J2" s="7" t="n">
        <v>0.15</v>
      </c>
      <c r="K2" s="8" t="n">
        <f aca="false">H2*I2*(1-J2)</f>
        <v>296.65</v>
      </c>
      <c r="L2" s="6" t="n">
        <f aca="false">H2*INDEX(Products!$E$2:$E$9,MATCH(E2,Products!$A$2:$A$9,0))</f>
        <v>201</v>
      </c>
      <c r="M2" s="8" t="n">
        <f aca="false">K2-L2</f>
        <v>95.65</v>
      </c>
      <c r="N2" s="2" t="s">
        <v>19</v>
      </c>
      <c r="O2" s="2" t="s">
        <v>20</v>
      </c>
    </row>
    <row r="3" customFormat="false" ht="15" hidden="false" customHeight="false" outlineLevel="0" collapsed="false">
      <c r="A3" s="2" t="s">
        <v>21</v>
      </c>
      <c r="B3" s="3" t="n">
        <v>45658</v>
      </c>
      <c r="C3" s="2" t="s">
        <v>16</v>
      </c>
      <c r="D3" s="2" t="s">
        <v>22</v>
      </c>
      <c r="E3" s="2" t="s">
        <v>23</v>
      </c>
      <c r="F3" s="4" t="str">
        <f aca="false">INDEX(Products!$B$2:$B$9,MATCH(E3,Products!$A$2:$A$9,0))</f>
        <v>Sensor Hub S</v>
      </c>
      <c r="G3" s="4" t="str">
        <f aca="false">INDEX(Products!$C$2:$C$9,MATCH(E3,Products!$A$2:$A$9,0))</f>
        <v>Hardware</v>
      </c>
      <c r="H3" s="5" t="n">
        <v>2</v>
      </c>
      <c r="I3" s="6" t="n">
        <f aca="false">INDEX(Products!$D$2:$D$9,MATCH(E3,Products!$A$2:$A$9,0))</f>
        <v>189</v>
      </c>
      <c r="J3" s="7" t="n">
        <v>0.1</v>
      </c>
      <c r="K3" s="8" t="n">
        <f aca="false">H3*I3*(1-J3)</f>
        <v>340.2</v>
      </c>
      <c r="L3" s="6" t="n">
        <f aca="false">H3*INDEX(Products!$E$2:$E$9,MATCH(E3,Products!$A$2:$A$9,0))</f>
        <v>196</v>
      </c>
      <c r="M3" s="8" t="n">
        <f aca="false">K3-L3</f>
        <v>144.2</v>
      </c>
      <c r="N3" s="2" t="s">
        <v>19</v>
      </c>
      <c r="O3" s="2" t="s">
        <v>20</v>
      </c>
    </row>
    <row r="4" customFormat="false" ht="15" hidden="false" customHeight="false" outlineLevel="0" collapsed="false">
      <c r="A4" s="2" t="s">
        <v>24</v>
      </c>
      <c r="B4" s="3" t="n">
        <v>45658</v>
      </c>
      <c r="C4" s="2" t="s">
        <v>16</v>
      </c>
      <c r="D4" s="2" t="s">
        <v>25</v>
      </c>
      <c r="E4" s="2" t="s">
        <v>26</v>
      </c>
      <c r="F4" s="4" t="str">
        <f aca="false">INDEX(Products!$B$2:$B$9,MATCH(E4,Products!$A$2:$A$9,0))</f>
        <v>Analytics Basic</v>
      </c>
      <c r="G4" s="4" t="str">
        <f aca="false">INDEX(Products!$C$2:$C$9,MATCH(E4,Products!$A$2:$A$9,0))</f>
        <v>Software</v>
      </c>
      <c r="H4" s="5" t="n">
        <v>1</v>
      </c>
      <c r="I4" s="6" t="n">
        <f aca="false">INDEX(Products!$D$2:$D$9,MATCH(E4,Products!$A$2:$A$9,0))</f>
        <v>120</v>
      </c>
      <c r="J4" s="7" t="n">
        <v>0.1</v>
      </c>
      <c r="K4" s="8" t="n">
        <f aca="false">H4*I4*(1-J4)</f>
        <v>108</v>
      </c>
      <c r="L4" s="6" t="n">
        <f aca="false">H4*INDEX(Products!$E$2:$E$9,MATCH(E4,Products!$A$2:$A$9,0))</f>
        <v>18</v>
      </c>
      <c r="M4" s="8" t="n">
        <f aca="false">K4-L4</f>
        <v>90</v>
      </c>
      <c r="N4" s="2" t="s">
        <v>19</v>
      </c>
      <c r="O4" s="2" t="s">
        <v>20</v>
      </c>
    </row>
    <row r="5" customFormat="false" ht="15" hidden="false" customHeight="false" outlineLevel="0" collapsed="false">
      <c r="A5" s="2" t="s">
        <v>27</v>
      </c>
      <c r="B5" s="3" t="n">
        <v>45659</v>
      </c>
      <c r="C5" s="2" t="s">
        <v>16</v>
      </c>
      <c r="D5" s="2" t="s">
        <v>17</v>
      </c>
      <c r="E5" s="2" t="s">
        <v>18</v>
      </c>
      <c r="F5" s="4" t="str">
        <f aca="false">INDEX(Products!$B$2:$B$9,MATCH(E5,Products!$A$2:$A$9,0))</f>
        <v>Sensor Hub Pro</v>
      </c>
      <c r="G5" s="4" t="str">
        <f aca="false">INDEX(Products!$C$2:$C$9,MATCH(E5,Products!$A$2:$A$9,0))</f>
        <v>Hardware</v>
      </c>
      <c r="H5" s="5" t="n">
        <v>4</v>
      </c>
      <c r="I5" s="6" t="n">
        <f aca="false">INDEX(Products!$D$2:$D$9,MATCH(E5,Products!$A$2:$A$9,0))</f>
        <v>349</v>
      </c>
      <c r="J5" s="7" t="n">
        <v>0.05</v>
      </c>
      <c r="K5" s="8" t="n">
        <f aca="false">H5*I5*(1-J5)</f>
        <v>1326.2</v>
      </c>
      <c r="L5" s="6" t="n">
        <f aca="false">H5*INDEX(Products!$E$2:$E$9,MATCH(E5,Products!$A$2:$A$9,0))</f>
        <v>804</v>
      </c>
      <c r="M5" s="8" t="n">
        <f aca="false">K5-L5</f>
        <v>522.2</v>
      </c>
      <c r="N5" s="2" t="s">
        <v>28</v>
      </c>
      <c r="O5" s="2" t="s">
        <v>20</v>
      </c>
    </row>
    <row r="6" customFormat="false" ht="15" hidden="false" customHeight="false" outlineLevel="0" collapsed="false">
      <c r="A6" s="2" t="s">
        <v>29</v>
      </c>
      <c r="B6" s="3" t="n">
        <v>45659</v>
      </c>
      <c r="C6" s="2" t="s">
        <v>30</v>
      </c>
      <c r="D6" s="2" t="s">
        <v>31</v>
      </c>
      <c r="E6" s="2" t="s">
        <v>32</v>
      </c>
      <c r="F6" s="4" t="str">
        <f aca="false">INDEX(Products!$B$2:$B$9,MATCH(E6,Products!$A$2:$A$9,0))</f>
        <v>Analytics Plus</v>
      </c>
      <c r="G6" s="4" t="str">
        <f aca="false">INDEX(Products!$C$2:$C$9,MATCH(E6,Products!$A$2:$A$9,0))</f>
        <v>Software</v>
      </c>
      <c r="H6" s="5" t="n">
        <v>1</v>
      </c>
      <c r="I6" s="6" t="n">
        <f aca="false">INDEX(Products!$D$2:$D$9,MATCH(E6,Products!$A$2:$A$9,0))</f>
        <v>290</v>
      </c>
      <c r="J6" s="7" t="n">
        <v>0.15</v>
      </c>
      <c r="K6" s="8" t="n">
        <f aca="false">H6*I6*(1-J6)</f>
        <v>246.5</v>
      </c>
      <c r="L6" s="6" t="n">
        <f aca="false">H6*INDEX(Products!$E$2:$E$9,MATCH(E6,Products!$A$2:$A$9,0))</f>
        <v>41</v>
      </c>
      <c r="M6" s="8" t="n">
        <f aca="false">K6-L6</f>
        <v>205.5</v>
      </c>
      <c r="N6" s="2" t="s">
        <v>19</v>
      </c>
      <c r="O6" s="2" t="s">
        <v>33</v>
      </c>
    </row>
    <row r="7" customFormat="false" ht="15" hidden="false" customHeight="false" outlineLevel="0" collapsed="false">
      <c r="A7" s="2" t="s">
        <v>34</v>
      </c>
      <c r="B7" s="3" t="n">
        <v>45659</v>
      </c>
      <c r="C7" s="2" t="s">
        <v>16</v>
      </c>
      <c r="D7" s="2" t="s">
        <v>35</v>
      </c>
      <c r="E7" s="2" t="s">
        <v>18</v>
      </c>
      <c r="F7" s="4" t="str">
        <f aca="false">INDEX(Products!$B$2:$B$9,MATCH(E7,Products!$A$2:$A$9,0))</f>
        <v>Sensor Hub Pro</v>
      </c>
      <c r="G7" s="4" t="str">
        <f aca="false">INDEX(Products!$C$2:$C$9,MATCH(E7,Products!$A$2:$A$9,0))</f>
        <v>Hardware</v>
      </c>
      <c r="H7" s="5" t="n">
        <v>20</v>
      </c>
      <c r="I7" s="6" t="n">
        <f aca="false">INDEX(Products!$D$2:$D$9,MATCH(E7,Products!$A$2:$A$9,0))</f>
        <v>349</v>
      </c>
      <c r="J7" s="7" t="n">
        <v>0.25</v>
      </c>
      <c r="K7" s="8" t="n">
        <f aca="false">H7*I7*(1-J7)</f>
        <v>5235</v>
      </c>
      <c r="L7" s="6" t="n">
        <f aca="false">H7*INDEX(Products!$E$2:$E$9,MATCH(E7,Products!$A$2:$A$9,0))</f>
        <v>4020</v>
      </c>
      <c r="M7" s="8" t="n">
        <f aca="false">K7-L7</f>
        <v>1215</v>
      </c>
      <c r="N7" s="2" t="s">
        <v>19</v>
      </c>
      <c r="O7" s="2" t="s">
        <v>36</v>
      </c>
    </row>
    <row r="8" customFormat="false" ht="15" hidden="false" customHeight="false" outlineLevel="0" collapsed="false">
      <c r="A8" s="2" t="s">
        <v>37</v>
      </c>
      <c r="B8" s="3" t="n">
        <v>45660</v>
      </c>
      <c r="C8" s="2" t="s">
        <v>16</v>
      </c>
      <c r="D8" s="2" t="s">
        <v>17</v>
      </c>
      <c r="E8" s="2" t="s">
        <v>18</v>
      </c>
      <c r="F8" s="4" t="str">
        <f aca="false">INDEX(Products!$B$2:$B$9,MATCH(E8,Products!$A$2:$A$9,0))</f>
        <v>Sensor Hub Pro</v>
      </c>
      <c r="G8" s="4" t="str">
        <f aca="false">INDEX(Products!$C$2:$C$9,MATCH(E8,Products!$A$2:$A$9,0))</f>
        <v>Hardware</v>
      </c>
      <c r="H8" s="5" t="n">
        <v>1</v>
      </c>
      <c r="I8" s="6" t="n">
        <f aca="false">INDEX(Products!$D$2:$D$9,MATCH(E8,Products!$A$2:$A$9,0))</f>
        <v>349</v>
      </c>
      <c r="J8" s="7" t="n">
        <v>0.15</v>
      </c>
      <c r="K8" s="8" t="n">
        <f aca="false">H8*I8*(1-J8)</f>
        <v>296.65</v>
      </c>
      <c r="L8" s="6" t="n">
        <f aca="false">H8*INDEX(Products!$E$2:$E$9,MATCH(E8,Products!$A$2:$A$9,0))</f>
        <v>201</v>
      </c>
      <c r="M8" s="8" t="n">
        <f aca="false">K8-L8</f>
        <v>95.65</v>
      </c>
      <c r="N8" s="2" t="s">
        <v>38</v>
      </c>
      <c r="O8" s="2" t="s">
        <v>20</v>
      </c>
    </row>
    <row r="9" customFormat="false" ht="15" hidden="false" customHeight="false" outlineLevel="0" collapsed="false">
      <c r="A9" s="2" t="s">
        <v>39</v>
      </c>
      <c r="B9" s="3" t="n">
        <v>45660</v>
      </c>
      <c r="C9" s="2" t="s">
        <v>16</v>
      </c>
      <c r="D9" s="2" t="s">
        <v>22</v>
      </c>
      <c r="E9" s="2" t="s">
        <v>32</v>
      </c>
      <c r="F9" s="4" t="str">
        <f aca="false">INDEX(Products!$B$2:$B$9,MATCH(E9,Products!$A$2:$A$9,0))</f>
        <v>Analytics Plus</v>
      </c>
      <c r="G9" s="4" t="str">
        <f aca="false">INDEX(Products!$C$2:$C$9,MATCH(E9,Products!$A$2:$A$9,0))</f>
        <v>Software</v>
      </c>
      <c r="H9" s="5" t="n">
        <v>1</v>
      </c>
      <c r="I9" s="6" t="n">
        <f aca="false">INDEX(Products!$D$2:$D$9,MATCH(E9,Products!$A$2:$A$9,0))</f>
        <v>290</v>
      </c>
      <c r="J9" s="7" t="n">
        <v>0</v>
      </c>
      <c r="K9" s="8" t="n">
        <f aca="false">H9*I9*(1-J9)</f>
        <v>290</v>
      </c>
      <c r="L9" s="6" t="n">
        <f aca="false">H9*INDEX(Products!$E$2:$E$9,MATCH(E9,Products!$A$2:$A$9,0))</f>
        <v>41</v>
      </c>
      <c r="M9" s="8" t="n">
        <f aca="false">K9-L9</f>
        <v>249</v>
      </c>
      <c r="N9" s="2" t="s">
        <v>28</v>
      </c>
      <c r="O9" s="2" t="s">
        <v>20</v>
      </c>
    </row>
    <row r="10" customFormat="false" ht="15" hidden="false" customHeight="false" outlineLevel="0" collapsed="false">
      <c r="A10" s="2" t="s">
        <v>40</v>
      </c>
      <c r="B10" s="3" t="n">
        <v>45660</v>
      </c>
      <c r="C10" s="2" t="s">
        <v>41</v>
      </c>
      <c r="D10" s="2" t="s">
        <v>42</v>
      </c>
      <c r="E10" s="2" t="s">
        <v>32</v>
      </c>
      <c r="F10" s="4" t="str">
        <f aca="false">INDEX(Products!$B$2:$B$9,MATCH(E10,Products!$A$2:$A$9,0))</f>
        <v>Analytics Plus</v>
      </c>
      <c r="G10" s="4" t="str">
        <f aca="false">INDEX(Products!$C$2:$C$9,MATCH(E10,Products!$A$2:$A$9,0))</f>
        <v>Software</v>
      </c>
      <c r="H10" s="5" t="n">
        <v>1</v>
      </c>
      <c r="I10" s="6" t="n">
        <f aca="false">INDEX(Products!$D$2:$D$9,MATCH(E10,Products!$A$2:$A$9,0))</f>
        <v>290</v>
      </c>
      <c r="J10" s="7" t="n">
        <v>0.1</v>
      </c>
      <c r="K10" s="8" t="n">
        <f aca="false">H10*I10*(1-J10)</f>
        <v>261</v>
      </c>
      <c r="L10" s="6" t="n">
        <f aca="false">H10*INDEX(Products!$E$2:$E$9,MATCH(E10,Products!$A$2:$A$9,0))</f>
        <v>41</v>
      </c>
      <c r="M10" s="8" t="n">
        <f aca="false">K10-L10</f>
        <v>220</v>
      </c>
      <c r="N10" s="2" t="s">
        <v>19</v>
      </c>
      <c r="O10" s="2" t="s">
        <v>43</v>
      </c>
    </row>
    <row r="11" customFormat="false" ht="15" hidden="false" customHeight="false" outlineLevel="0" collapsed="false">
      <c r="A11" s="2" t="s">
        <v>44</v>
      </c>
      <c r="B11" s="3" t="n">
        <v>45663</v>
      </c>
      <c r="C11" s="2" t="s">
        <v>16</v>
      </c>
      <c r="D11" s="2" t="s">
        <v>35</v>
      </c>
      <c r="E11" s="2" t="s">
        <v>18</v>
      </c>
      <c r="F11" s="4" t="str">
        <f aca="false">INDEX(Products!$B$2:$B$9,MATCH(E11,Products!$A$2:$A$9,0))</f>
        <v>Sensor Hub Pro</v>
      </c>
      <c r="G11" s="4" t="str">
        <f aca="false">INDEX(Products!$C$2:$C$9,MATCH(E11,Products!$A$2:$A$9,0))</f>
        <v>Hardware</v>
      </c>
      <c r="H11" s="5" t="n">
        <v>1</v>
      </c>
      <c r="I11" s="6" t="n">
        <f aca="false">INDEX(Products!$D$2:$D$9,MATCH(E11,Products!$A$2:$A$9,0))</f>
        <v>349</v>
      </c>
      <c r="J11" s="7" t="n">
        <v>0</v>
      </c>
      <c r="K11" s="8" t="n">
        <f aca="false">H11*I11*(1-J11)</f>
        <v>349</v>
      </c>
      <c r="L11" s="6" t="n">
        <f aca="false">H11*INDEX(Products!$E$2:$E$9,MATCH(E11,Products!$A$2:$A$9,0))</f>
        <v>201</v>
      </c>
      <c r="M11" s="8" t="n">
        <f aca="false">K11-L11</f>
        <v>148</v>
      </c>
      <c r="N11" s="2" t="s">
        <v>28</v>
      </c>
      <c r="O11" s="2" t="s">
        <v>20</v>
      </c>
    </row>
    <row r="12" customFormat="false" ht="15" hidden="false" customHeight="false" outlineLevel="0" collapsed="false">
      <c r="A12" s="2" t="s">
        <v>45</v>
      </c>
      <c r="B12" s="3" t="n">
        <v>45663</v>
      </c>
      <c r="C12" s="2" t="s">
        <v>16</v>
      </c>
      <c r="D12" s="2" t="s">
        <v>22</v>
      </c>
      <c r="E12" s="2" t="s">
        <v>18</v>
      </c>
      <c r="F12" s="4" t="str">
        <f aca="false">INDEX(Products!$B$2:$B$9,MATCH(E12,Products!$A$2:$A$9,0))</f>
        <v>Sensor Hub Pro</v>
      </c>
      <c r="G12" s="4" t="str">
        <f aca="false">INDEX(Products!$C$2:$C$9,MATCH(E12,Products!$A$2:$A$9,0))</f>
        <v>Hardware</v>
      </c>
      <c r="H12" s="5" t="n">
        <v>12</v>
      </c>
      <c r="I12" s="6" t="n">
        <f aca="false">INDEX(Products!$D$2:$D$9,MATCH(E12,Products!$A$2:$A$9,0))</f>
        <v>349</v>
      </c>
      <c r="J12" s="7" t="n">
        <v>0</v>
      </c>
      <c r="K12" s="8" t="n">
        <f aca="false">H12*I12*(1-J12)</f>
        <v>4188</v>
      </c>
      <c r="L12" s="6" t="n">
        <f aca="false">H12*INDEX(Products!$E$2:$E$9,MATCH(E12,Products!$A$2:$A$9,0))</f>
        <v>2412</v>
      </c>
      <c r="M12" s="8" t="n">
        <f aca="false">K12-L12</f>
        <v>1776</v>
      </c>
      <c r="N12" s="2" t="s">
        <v>38</v>
      </c>
      <c r="O12" s="2" t="s">
        <v>20</v>
      </c>
    </row>
    <row r="13" customFormat="false" ht="15" hidden="false" customHeight="false" outlineLevel="0" collapsed="false">
      <c r="A13" s="2" t="s">
        <v>46</v>
      </c>
      <c r="B13" s="3" t="n">
        <v>45663</v>
      </c>
      <c r="C13" s="2" t="s">
        <v>47</v>
      </c>
      <c r="D13" s="2" t="s">
        <v>48</v>
      </c>
      <c r="E13" s="2" t="s">
        <v>49</v>
      </c>
      <c r="F13" s="4" t="str">
        <f aca="false">INDEX(Products!$B$2:$B$9,MATCH(E13,Products!$A$2:$A$9,0))</f>
        <v>Mounting Kit</v>
      </c>
      <c r="G13" s="4" t="str">
        <f aca="false">INDEX(Products!$C$2:$C$9,MATCH(E13,Products!$A$2:$A$9,0))</f>
        <v>Accessories</v>
      </c>
      <c r="H13" s="5" t="n">
        <v>8</v>
      </c>
      <c r="I13" s="6" t="n">
        <f aca="false">INDEX(Products!$D$2:$D$9,MATCH(E13,Products!$A$2:$A$9,0))</f>
        <v>39</v>
      </c>
      <c r="J13" s="7" t="n">
        <v>0</v>
      </c>
      <c r="K13" s="8" t="n">
        <f aca="false">H13*I13*(1-J13)</f>
        <v>312</v>
      </c>
      <c r="L13" s="6" t="n">
        <f aca="false">H13*INDEX(Products!$E$2:$E$9,MATCH(E13,Products!$A$2:$A$9,0))</f>
        <v>252</v>
      </c>
      <c r="M13" s="8" t="n">
        <f aca="false">K13-L13</f>
        <v>60</v>
      </c>
      <c r="N13" s="2" t="s">
        <v>28</v>
      </c>
      <c r="O13" s="2" t="s">
        <v>50</v>
      </c>
    </row>
    <row r="14" customFormat="false" ht="15" hidden="false" customHeight="false" outlineLevel="0" collapsed="false">
      <c r="A14" s="2" t="s">
        <v>51</v>
      </c>
      <c r="B14" s="3" t="n">
        <v>45663</v>
      </c>
      <c r="C14" s="2" t="s">
        <v>41</v>
      </c>
      <c r="D14" s="2" t="s">
        <v>42</v>
      </c>
      <c r="E14" s="2" t="s">
        <v>26</v>
      </c>
      <c r="F14" s="4" t="str">
        <f aca="false">INDEX(Products!$B$2:$B$9,MATCH(E14,Products!$A$2:$A$9,0))</f>
        <v>Analytics Basic</v>
      </c>
      <c r="G14" s="4" t="str">
        <f aca="false">INDEX(Products!$C$2:$C$9,MATCH(E14,Products!$A$2:$A$9,0))</f>
        <v>Software</v>
      </c>
      <c r="H14" s="5" t="n">
        <v>3</v>
      </c>
      <c r="I14" s="6" t="n">
        <f aca="false">INDEX(Products!$D$2:$D$9,MATCH(E14,Products!$A$2:$A$9,0))</f>
        <v>120</v>
      </c>
      <c r="J14" s="7" t="n">
        <v>0</v>
      </c>
      <c r="K14" s="8" t="n">
        <f aca="false">H14*I14*(1-J14)</f>
        <v>360</v>
      </c>
      <c r="L14" s="6" t="n">
        <f aca="false">H14*INDEX(Products!$E$2:$E$9,MATCH(E14,Products!$A$2:$A$9,0))</f>
        <v>54</v>
      </c>
      <c r="M14" s="8" t="n">
        <f aca="false">K14-L14</f>
        <v>306</v>
      </c>
      <c r="N14" s="2" t="s">
        <v>28</v>
      </c>
      <c r="O14" s="2" t="s">
        <v>52</v>
      </c>
    </row>
    <row r="15" customFormat="false" ht="15" hidden="false" customHeight="false" outlineLevel="0" collapsed="false">
      <c r="A15" s="2" t="s">
        <v>53</v>
      </c>
      <c r="B15" s="3" t="n">
        <v>45663</v>
      </c>
      <c r="C15" s="2" t="s">
        <v>16</v>
      </c>
      <c r="D15" s="2" t="s">
        <v>25</v>
      </c>
      <c r="E15" s="2" t="s">
        <v>23</v>
      </c>
      <c r="F15" s="4" t="str">
        <f aca="false">INDEX(Products!$B$2:$B$9,MATCH(E15,Products!$A$2:$A$9,0))</f>
        <v>Sensor Hub S</v>
      </c>
      <c r="G15" s="4" t="str">
        <f aca="false">INDEX(Products!$C$2:$C$9,MATCH(E15,Products!$A$2:$A$9,0))</f>
        <v>Hardware</v>
      </c>
      <c r="H15" s="5" t="n">
        <v>1</v>
      </c>
      <c r="I15" s="6" t="n">
        <f aca="false">INDEX(Products!$D$2:$D$9,MATCH(E15,Products!$A$2:$A$9,0))</f>
        <v>189</v>
      </c>
      <c r="J15" s="7" t="n">
        <v>0</v>
      </c>
      <c r="K15" s="8" t="n">
        <f aca="false">H15*I15*(1-J15)</f>
        <v>189</v>
      </c>
      <c r="L15" s="6" t="n">
        <f aca="false">H15*INDEX(Products!$E$2:$E$9,MATCH(E15,Products!$A$2:$A$9,0))</f>
        <v>98</v>
      </c>
      <c r="M15" s="8" t="n">
        <f aca="false">K15-L15</f>
        <v>91</v>
      </c>
      <c r="N15" s="2" t="s">
        <v>28</v>
      </c>
      <c r="O15" s="2" t="s">
        <v>36</v>
      </c>
    </row>
    <row r="16" customFormat="false" ht="15" hidden="false" customHeight="false" outlineLevel="0" collapsed="false">
      <c r="A16" s="2" t="s">
        <v>54</v>
      </c>
      <c r="B16" s="3" t="n">
        <v>45664</v>
      </c>
      <c r="C16" s="2" t="s">
        <v>47</v>
      </c>
      <c r="D16" s="2" t="s">
        <v>55</v>
      </c>
      <c r="E16" s="2" t="s">
        <v>18</v>
      </c>
      <c r="F16" s="4" t="str">
        <f aca="false">INDEX(Products!$B$2:$B$9,MATCH(E16,Products!$A$2:$A$9,0))</f>
        <v>Sensor Hub Pro</v>
      </c>
      <c r="G16" s="4" t="str">
        <f aca="false">INDEX(Products!$C$2:$C$9,MATCH(E16,Products!$A$2:$A$9,0))</f>
        <v>Hardware</v>
      </c>
      <c r="H16" s="5" t="n">
        <v>10</v>
      </c>
      <c r="I16" s="6" t="n">
        <f aca="false">INDEX(Products!$D$2:$D$9,MATCH(E16,Products!$A$2:$A$9,0))</f>
        <v>349</v>
      </c>
      <c r="J16" s="7" t="n">
        <v>0</v>
      </c>
      <c r="K16" s="8" t="n">
        <f aca="false">H16*I16*(1-J16)</f>
        <v>3490</v>
      </c>
      <c r="L16" s="6" t="n">
        <f aca="false">H16*INDEX(Products!$E$2:$E$9,MATCH(E16,Products!$A$2:$A$9,0))</f>
        <v>2010</v>
      </c>
      <c r="M16" s="8" t="n">
        <f aca="false">K16-L16</f>
        <v>1480</v>
      </c>
      <c r="N16" s="2" t="s">
        <v>38</v>
      </c>
      <c r="O16" s="2" t="s">
        <v>50</v>
      </c>
    </row>
    <row r="17" customFormat="false" ht="15" hidden="false" customHeight="false" outlineLevel="0" collapsed="false">
      <c r="A17" s="2" t="s">
        <v>56</v>
      </c>
      <c r="B17" s="3" t="n">
        <v>45664</v>
      </c>
      <c r="C17" s="2" t="s">
        <v>41</v>
      </c>
      <c r="D17" s="2" t="s">
        <v>42</v>
      </c>
      <c r="E17" s="2" t="s">
        <v>57</v>
      </c>
      <c r="F17" s="4" t="str">
        <f aca="false">INDEX(Products!$B$2:$B$9,MATCH(E17,Products!$A$2:$A$9,0))</f>
        <v>Edge Gateway</v>
      </c>
      <c r="G17" s="4" t="str">
        <f aca="false">INDEX(Products!$C$2:$C$9,MATCH(E17,Products!$A$2:$A$9,0))</f>
        <v>Hardware</v>
      </c>
      <c r="H17" s="5" t="n">
        <v>3</v>
      </c>
      <c r="I17" s="6" t="n">
        <f aca="false">INDEX(Products!$D$2:$D$9,MATCH(E17,Products!$A$2:$A$9,0))</f>
        <v>899</v>
      </c>
      <c r="J17" s="7" t="n">
        <v>0.05</v>
      </c>
      <c r="K17" s="8" t="n">
        <f aca="false">H17*I17*(1-J17)</f>
        <v>2562.15</v>
      </c>
      <c r="L17" s="6" t="n">
        <f aca="false">H17*INDEX(Products!$E$2:$E$9,MATCH(E17,Products!$A$2:$A$9,0))</f>
        <v>1836</v>
      </c>
      <c r="M17" s="8" t="n">
        <f aca="false">K17-L17</f>
        <v>726.15</v>
      </c>
      <c r="N17" s="2" t="s">
        <v>28</v>
      </c>
      <c r="O17" s="2" t="s">
        <v>52</v>
      </c>
    </row>
    <row r="18" customFormat="false" ht="15" hidden="false" customHeight="false" outlineLevel="0" collapsed="false">
      <c r="A18" s="2" t="s">
        <v>58</v>
      </c>
      <c r="B18" s="3" t="n">
        <v>45665</v>
      </c>
      <c r="C18" s="2" t="s">
        <v>59</v>
      </c>
      <c r="D18" s="2" t="s">
        <v>60</v>
      </c>
      <c r="E18" s="2" t="s">
        <v>61</v>
      </c>
      <c r="F18" s="4" t="str">
        <f aca="false">INDEX(Products!$B$2:$B$9,MATCH(E18,Products!$A$2:$A$9,0))</f>
        <v>Install Service</v>
      </c>
      <c r="G18" s="4" t="str">
        <f aca="false">INDEX(Products!$C$2:$C$9,MATCH(E18,Products!$A$2:$A$9,0))</f>
        <v>Services</v>
      </c>
      <c r="H18" s="5" t="n">
        <v>3</v>
      </c>
      <c r="I18" s="6" t="n">
        <f aca="false">INDEX(Products!$D$2:$D$9,MATCH(E18,Products!$A$2:$A$9,0))</f>
        <v>450</v>
      </c>
      <c r="J18" s="7" t="n">
        <v>0.15</v>
      </c>
      <c r="K18" s="8" t="n">
        <f aca="false">H18*I18*(1-J18)</f>
        <v>1147.5</v>
      </c>
      <c r="L18" s="6" t="n">
        <f aca="false">H18*INDEX(Products!$E$2:$E$9,MATCH(E18,Products!$A$2:$A$9,0))</f>
        <v>930</v>
      </c>
      <c r="M18" s="8" t="n">
        <f aca="false">K18-L18</f>
        <v>217.5</v>
      </c>
      <c r="N18" s="2" t="s">
        <v>38</v>
      </c>
      <c r="O18" s="2" t="s">
        <v>62</v>
      </c>
    </row>
    <row r="19" customFormat="false" ht="15" hidden="false" customHeight="false" outlineLevel="0" collapsed="false">
      <c r="A19" s="2" t="s">
        <v>63</v>
      </c>
      <c r="B19" s="3" t="n">
        <v>45665</v>
      </c>
      <c r="C19" s="2" t="s">
        <v>30</v>
      </c>
      <c r="D19" s="2" t="s">
        <v>31</v>
      </c>
      <c r="E19" s="2" t="s">
        <v>26</v>
      </c>
      <c r="F19" s="4" t="str">
        <f aca="false">INDEX(Products!$B$2:$B$9,MATCH(E19,Products!$A$2:$A$9,0))</f>
        <v>Analytics Basic</v>
      </c>
      <c r="G19" s="4" t="str">
        <f aca="false">INDEX(Products!$C$2:$C$9,MATCH(E19,Products!$A$2:$A$9,0))</f>
        <v>Software</v>
      </c>
      <c r="H19" s="5" t="n">
        <v>1</v>
      </c>
      <c r="I19" s="6" t="n">
        <f aca="false">INDEX(Products!$D$2:$D$9,MATCH(E19,Products!$A$2:$A$9,0))</f>
        <v>120</v>
      </c>
      <c r="J19" s="7" t="n">
        <v>0.15</v>
      </c>
      <c r="K19" s="8" t="n">
        <f aca="false">H19*I19*(1-J19)</f>
        <v>102</v>
      </c>
      <c r="L19" s="6" t="n">
        <f aca="false">H19*INDEX(Products!$E$2:$E$9,MATCH(E19,Products!$A$2:$A$9,0))</f>
        <v>18</v>
      </c>
      <c r="M19" s="8" t="n">
        <f aca="false">K19-L19</f>
        <v>84</v>
      </c>
      <c r="N19" s="2" t="s">
        <v>28</v>
      </c>
      <c r="O19" s="2" t="s">
        <v>64</v>
      </c>
    </row>
    <row r="20" customFormat="false" ht="15" hidden="false" customHeight="false" outlineLevel="0" collapsed="false">
      <c r="A20" s="2" t="s">
        <v>65</v>
      </c>
      <c r="B20" s="3" t="n">
        <v>45665</v>
      </c>
      <c r="C20" s="2" t="s">
        <v>41</v>
      </c>
      <c r="D20" s="2" t="s">
        <v>66</v>
      </c>
      <c r="E20" s="2" t="s">
        <v>26</v>
      </c>
      <c r="F20" s="4" t="str">
        <f aca="false">INDEX(Products!$B$2:$B$9,MATCH(E20,Products!$A$2:$A$9,0))</f>
        <v>Analytics Basic</v>
      </c>
      <c r="G20" s="4" t="str">
        <f aca="false">INDEX(Products!$C$2:$C$9,MATCH(E20,Products!$A$2:$A$9,0))</f>
        <v>Software</v>
      </c>
      <c r="H20" s="5" t="n">
        <v>1</v>
      </c>
      <c r="I20" s="6" t="n">
        <f aca="false">INDEX(Products!$D$2:$D$9,MATCH(E20,Products!$A$2:$A$9,0))</f>
        <v>120</v>
      </c>
      <c r="J20" s="7" t="n">
        <v>0.15</v>
      </c>
      <c r="K20" s="8" t="n">
        <f aca="false">H20*I20*(1-J20)</f>
        <v>102</v>
      </c>
      <c r="L20" s="6" t="n">
        <f aca="false">H20*INDEX(Products!$E$2:$E$9,MATCH(E20,Products!$A$2:$A$9,0))</f>
        <v>18</v>
      </c>
      <c r="M20" s="8" t="n">
        <f aca="false">K20-L20</f>
        <v>84</v>
      </c>
      <c r="N20" s="2" t="s">
        <v>38</v>
      </c>
      <c r="O20" s="2" t="s">
        <v>43</v>
      </c>
    </row>
    <row r="21" customFormat="false" ht="15" hidden="false" customHeight="false" outlineLevel="0" collapsed="false">
      <c r="A21" s="2" t="s">
        <v>67</v>
      </c>
      <c r="B21" s="3" t="n">
        <v>45665</v>
      </c>
      <c r="C21" s="2" t="s">
        <v>16</v>
      </c>
      <c r="D21" s="2" t="s">
        <v>17</v>
      </c>
      <c r="E21" s="2" t="s">
        <v>68</v>
      </c>
      <c r="F21" s="4" t="str">
        <f aca="false">INDEX(Products!$B$2:$B$9,MATCH(E21,Products!$A$2:$A$9,0))</f>
        <v>Premium Support</v>
      </c>
      <c r="G21" s="4" t="str">
        <f aca="false">INDEX(Products!$C$2:$C$9,MATCH(E21,Products!$A$2:$A$9,0))</f>
        <v>Services</v>
      </c>
      <c r="H21" s="5" t="n">
        <v>1</v>
      </c>
      <c r="I21" s="6" t="n">
        <f aca="false">INDEX(Products!$D$2:$D$9,MATCH(E21,Products!$A$2:$A$9,0))</f>
        <v>600</v>
      </c>
      <c r="J21" s="7" t="n">
        <v>0.05</v>
      </c>
      <c r="K21" s="8" t="n">
        <f aca="false">H21*I21*(1-J21)</f>
        <v>570</v>
      </c>
      <c r="L21" s="6" t="n">
        <f aca="false">H21*INDEX(Products!$E$2:$E$9,MATCH(E21,Products!$A$2:$A$9,0))</f>
        <v>395</v>
      </c>
      <c r="M21" s="8" t="n">
        <f aca="false">K21-L21</f>
        <v>175</v>
      </c>
      <c r="N21" s="2" t="s">
        <v>28</v>
      </c>
      <c r="O21" s="2" t="s">
        <v>36</v>
      </c>
    </row>
    <row r="22" customFormat="false" ht="15" hidden="false" customHeight="false" outlineLevel="0" collapsed="false">
      <c r="A22" s="2" t="s">
        <v>69</v>
      </c>
      <c r="B22" s="3" t="n">
        <v>45666</v>
      </c>
      <c r="C22" s="2" t="s">
        <v>47</v>
      </c>
      <c r="D22" s="2" t="s">
        <v>48</v>
      </c>
      <c r="E22" s="2" t="s">
        <v>18</v>
      </c>
      <c r="F22" s="4" t="str">
        <f aca="false">INDEX(Products!$B$2:$B$9,MATCH(E22,Products!$A$2:$A$9,0))</f>
        <v>Sensor Hub Pro</v>
      </c>
      <c r="G22" s="4" t="str">
        <f aca="false">INDEX(Products!$C$2:$C$9,MATCH(E22,Products!$A$2:$A$9,0))</f>
        <v>Hardware</v>
      </c>
      <c r="H22" s="5" t="n">
        <v>12</v>
      </c>
      <c r="I22" s="6" t="n">
        <f aca="false">INDEX(Products!$D$2:$D$9,MATCH(E22,Products!$A$2:$A$9,0))</f>
        <v>349</v>
      </c>
      <c r="J22" s="7" t="n">
        <v>0</v>
      </c>
      <c r="K22" s="8" t="n">
        <f aca="false">H22*I22*(1-J22)</f>
        <v>4188</v>
      </c>
      <c r="L22" s="6" t="n">
        <f aca="false">H22*INDEX(Products!$E$2:$E$9,MATCH(E22,Products!$A$2:$A$9,0))</f>
        <v>2412</v>
      </c>
      <c r="M22" s="8" t="n">
        <f aca="false">K22-L22</f>
        <v>1776</v>
      </c>
      <c r="N22" s="2" t="s">
        <v>28</v>
      </c>
      <c r="O22" s="2" t="s">
        <v>50</v>
      </c>
    </row>
    <row r="23" customFormat="false" ht="15" hidden="false" customHeight="false" outlineLevel="0" collapsed="false">
      <c r="A23" s="2" t="s">
        <v>70</v>
      </c>
      <c r="B23" s="3" t="n">
        <v>45666</v>
      </c>
      <c r="C23" s="2" t="s">
        <v>47</v>
      </c>
      <c r="D23" s="2" t="s">
        <v>71</v>
      </c>
      <c r="E23" s="2" t="s">
        <v>32</v>
      </c>
      <c r="F23" s="4" t="str">
        <f aca="false">INDEX(Products!$B$2:$B$9,MATCH(E23,Products!$A$2:$A$9,0))</f>
        <v>Analytics Plus</v>
      </c>
      <c r="G23" s="4" t="str">
        <f aca="false">INDEX(Products!$C$2:$C$9,MATCH(E23,Products!$A$2:$A$9,0))</f>
        <v>Software</v>
      </c>
      <c r="H23" s="5" t="n">
        <v>1</v>
      </c>
      <c r="I23" s="6" t="n">
        <f aca="false">INDEX(Products!$D$2:$D$9,MATCH(E23,Products!$A$2:$A$9,0))</f>
        <v>290</v>
      </c>
      <c r="J23" s="7" t="n">
        <v>0.05</v>
      </c>
      <c r="K23" s="8" t="n">
        <f aca="false">H23*I23*(1-J23)</f>
        <v>275.5</v>
      </c>
      <c r="L23" s="6" t="n">
        <f aca="false">H23*INDEX(Products!$E$2:$E$9,MATCH(E23,Products!$A$2:$A$9,0))</f>
        <v>41</v>
      </c>
      <c r="M23" s="8" t="n">
        <f aca="false">K23-L23</f>
        <v>234.5</v>
      </c>
      <c r="N23" s="2" t="s">
        <v>28</v>
      </c>
      <c r="O23" s="2" t="s">
        <v>72</v>
      </c>
    </row>
    <row r="24" customFormat="false" ht="15" hidden="false" customHeight="false" outlineLevel="0" collapsed="false">
      <c r="A24" s="2" t="s">
        <v>73</v>
      </c>
      <c r="B24" s="3" t="n">
        <v>45666</v>
      </c>
      <c r="C24" s="2" t="s">
        <v>16</v>
      </c>
      <c r="D24" s="2" t="s">
        <v>22</v>
      </c>
      <c r="E24" s="2" t="s">
        <v>23</v>
      </c>
      <c r="F24" s="4" t="str">
        <f aca="false">INDEX(Products!$B$2:$B$9,MATCH(E24,Products!$A$2:$A$9,0))</f>
        <v>Sensor Hub S</v>
      </c>
      <c r="G24" s="4" t="str">
        <f aca="false">INDEX(Products!$C$2:$C$9,MATCH(E24,Products!$A$2:$A$9,0))</f>
        <v>Hardware</v>
      </c>
      <c r="H24" s="5" t="n">
        <v>1</v>
      </c>
      <c r="I24" s="6" t="n">
        <f aca="false">INDEX(Products!$D$2:$D$9,MATCH(E24,Products!$A$2:$A$9,0))</f>
        <v>189</v>
      </c>
      <c r="J24" s="7" t="n">
        <v>0.1</v>
      </c>
      <c r="K24" s="8" t="n">
        <f aca="false">H24*I24*(1-J24)</f>
        <v>170.1</v>
      </c>
      <c r="L24" s="6" t="n">
        <f aca="false">H24*INDEX(Products!$E$2:$E$9,MATCH(E24,Products!$A$2:$A$9,0))</f>
        <v>98</v>
      </c>
      <c r="M24" s="8" t="n">
        <f aca="false">K24-L24</f>
        <v>72.1</v>
      </c>
      <c r="N24" s="2" t="s">
        <v>19</v>
      </c>
      <c r="O24" s="2" t="s">
        <v>36</v>
      </c>
    </row>
    <row r="25" customFormat="false" ht="15" hidden="false" customHeight="false" outlineLevel="0" collapsed="false">
      <c r="A25" s="2" t="s">
        <v>74</v>
      </c>
      <c r="B25" s="3" t="n">
        <v>45666</v>
      </c>
      <c r="C25" s="2" t="s">
        <v>16</v>
      </c>
      <c r="D25" s="2" t="s">
        <v>35</v>
      </c>
      <c r="E25" s="2" t="s">
        <v>32</v>
      </c>
      <c r="F25" s="4" t="str">
        <f aca="false">INDEX(Products!$B$2:$B$9,MATCH(E25,Products!$A$2:$A$9,0))</f>
        <v>Analytics Plus</v>
      </c>
      <c r="G25" s="4" t="str">
        <f aca="false">INDEX(Products!$C$2:$C$9,MATCH(E25,Products!$A$2:$A$9,0))</f>
        <v>Software</v>
      </c>
      <c r="H25" s="5" t="n">
        <v>1</v>
      </c>
      <c r="I25" s="6" t="n">
        <f aca="false">INDEX(Products!$D$2:$D$9,MATCH(E25,Products!$A$2:$A$9,0))</f>
        <v>290</v>
      </c>
      <c r="J25" s="7" t="n">
        <v>0</v>
      </c>
      <c r="K25" s="8" t="n">
        <f aca="false">H25*I25*(1-J25)</f>
        <v>290</v>
      </c>
      <c r="L25" s="6" t="n">
        <f aca="false">H25*INDEX(Products!$E$2:$E$9,MATCH(E25,Products!$A$2:$A$9,0))</f>
        <v>41</v>
      </c>
      <c r="M25" s="8" t="n">
        <f aca="false">K25-L25</f>
        <v>249</v>
      </c>
      <c r="N25" s="2" t="s">
        <v>28</v>
      </c>
      <c r="O25" s="2" t="s">
        <v>36</v>
      </c>
    </row>
    <row r="26" customFormat="false" ht="15" hidden="false" customHeight="false" outlineLevel="0" collapsed="false">
      <c r="A26" s="2" t="s">
        <v>75</v>
      </c>
      <c r="B26" s="3" t="n">
        <v>45667</v>
      </c>
      <c r="C26" s="2" t="s">
        <v>47</v>
      </c>
      <c r="D26" s="2" t="s">
        <v>71</v>
      </c>
      <c r="E26" s="2" t="s">
        <v>18</v>
      </c>
      <c r="F26" s="4" t="str">
        <f aca="false">INDEX(Products!$B$2:$B$9,MATCH(E26,Products!$A$2:$A$9,0))</f>
        <v>Sensor Hub Pro</v>
      </c>
      <c r="G26" s="4" t="str">
        <f aca="false">INDEX(Products!$C$2:$C$9,MATCH(E26,Products!$A$2:$A$9,0))</f>
        <v>Hardware</v>
      </c>
      <c r="H26" s="5" t="n">
        <v>8</v>
      </c>
      <c r="I26" s="6" t="n">
        <f aca="false">INDEX(Products!$D$2:$D$9,MATCH(E26,Products!$A$2:$A$9,0))</f>
        <v>349</v>
      </c>
      <c r="J26" s="7" t="n">
        <v>0</v>
      </c>
      <c r="K26" s="8" t="n">
        <f aca="false">H26*I26*(1-J26)</f>
        <v>2792</v>
      </c>
      <c r="L26" s="6" t="n">
        <f aca="false">H26*INDEX(Products!$E$2:$E$9,MATCH(E26,Products!$A$2:$A$9,0))</f>
        <v>1608</v>
      </c>
      <c r="M26" s="8" t="n">
        <f aca="false">K26-L26</f>
        <v>1184</v>
      </c>
      <c r="N26" s="2" t="s">
        <v>28</v>
      </c>
      <c r="O26" s="2" t="s">
        <v>72</v>
      </c>
    </row>
    <row r="27" customFormat="false" ht="15" hidden="false" customHeight="false" outlineLevel="0" collapsed="false">
      <c r="A27" s="2" t="s">
        <v>76</v>
      </c>
      <c r="B27" s="3" t="n">
        <v>45667</v>
      </c>
      <c r="C27" s="2" t="s">
        <v>30</v>
      </c>
      <c r="D27" s="2" t="s">
        <v>77</v>
      </c>
      <c r="E27" s="2" t="s">
        <v>68</v>
      </c>
      <c r="F27" s="4" t="str">
        <f aca="false">INDEX(Products!$B$2:$B$9,MATCH(E27,Products!$A$2:$A$9,0))</f>
        <v>Premium Support</v>
      </c>
      <c r="G27" s="4" t="str">
        <f aca="false">INDEX(Products!$C$2:$C$9,MATCH(E27,Products!$A$2:$A$9,0))</f>
        <v>Services</v>
      </c>
      <c r="H27" s="5" t="n">
        <v>1</v>
      </c>
      <c r="I27" s="6" t="n">
        <f aca="false">INDEX(Products!$D$2:$D$9,MATCH(E27,Products!$A$2:$A$9,0))</f>
        <v>600</v>
      </c>
      <c r="J27" s="7" t="n">
        <v>0.1</v>
      </c>
      <c r="K27" s="8" t="n">
        <f aca="false">H27*I27*(1-J27)</f>
        <v>540</v>
      </c>
      <c r="L27" s="6" t="n">
        <f aca="false">H27*INDEX(Products!$E$2:$E$9,MATCH(E27,Products!$A$2:$A$9,0))</f>
        <v>395</v>
      </c>
      <c r="M27" s="8" t="n">
        <f aca="false">K27-L27</f>
        <v>145</v>
      </c>
      <c r="N27" s="2" t="s">
        <v>28</v>
      </c>
      <c r="O27" s="2" t="s">
        <v>33</v>
      </c>
    </row>
    <row r="28" customFormat="false" ht="15" hidden="false" customHeight="false" outlineLevel="0" collapsed="false">
      <c r="A28" s="2" t="s">
        <v>78</v>
      </c>
      <c r="B28" s="3" t="n">
        <v>45667</v>
      </c>
      <c r="C28" s="2" t="s">
        <v>47</v>
      </c>
      <c r="D28" s="2" t="s">
        <v>55</v>
      </c>
      <c r="E28" s="2" t="s">
        <v>26</v>
      </c>
      <c r="F28" s="4" t="str">
        <f aca="false">INDEX(Products!$B$2:$B$9,MATCH(E28,Products!$A$2:$A$9,0))</f>
        <v>Analytics Basic</v>
      </c>
      <c r="G28" s="4" t="str">
        <f aca="false">INDEX(Products!$C$2:$C$9,MATCH(E28,Products!$A$2:$A$9,0))</f>
        <v>Software</v>
      </c>
      <c r="H28" s="5" t="n">
        <v>5</v>
      </c>
      <c r="I28" s="6" t="n">
        <f aca="false">INDEX(Products!$D$2:$D$9,MATCH(E28,Products!$A$2:$A$9,0))</f>
        <v>120</v>
      </c>
      <c r="J28" s="7" t="n">
        <v>0.1</v>
      </c>
      <c r="K28" s="8" t="n">
        <f aca="false">H28*I28*(1-J28)</f>
        <v>540</v>
      </c>
      <c r="L28" s="6" t="n">
        <f aca="false">H28*INDEX(Products!$E$2:$E$9,MATCH(E28,Products!$A$2:$A$9,0))</f>
        <v>90</v>
      </c>
      <c r="M28" s="8" t="n">
        <f aca="false">K28-L28</f>
        <v>450</v>
      </c>
      <c r="N28" s="2" t="s">
        <v>28</v>
      </c>
      <c r="O28" s="2" t="s">
        <v>72</v>
      </c>
    </row>
    <row r="29" customFormat="false" ht="15" hidden="false" customHeight="false" outlineLevel="0" collapsed="false">
      <c r="A29" s="2" t="s">
        <v>79</v>
      </c>
      <c r="B29" s="3" t="n">
        <v>45667</v>
      </c>
      <c r="C29" s="2" t="s">
        <v>47</v>
      </c>
      <c r="D29" s="2" t="s">
        <v>71</v>
      </c>
      <c r="E29" s="2" t="s">
        <v>18</v>
      </c>
      <c r="F29" s="4" t="str">
        <f aca="false">INDEX(Products!$B$2:$B$9,MATCH(E29,Products!$A$2:$A$9,0))</f>
        <v>Sensor Hub Pro</v>
      </c>
      <c r="G29" s="4" t="str">
        <f aca="false">INDEX(Products!$C$2:$C$9,MATCH(E29,Products!$A$2:$A$9,0))</f>
        <v>Hardware</v>
      </c>
      <c r="H29" s="5" t="n">
        <v>1</v>
      </c>
      <c r="I29" s="6" t="n">
        <f aca="false">INDEX(Products!$D$2:$D$9,MATCH(E29,Products!$A$2:$A$9,0))</f>
        <v>349</v>
      </c>
      <c r="J29" s="7" t="n">
        <v>0</v>
      </c>
      <c r="K29" s="8" t="n">
        <f aca="false">H29*I29*(1-J29)</f>
        <v>349</v>
      </c>
      <c r="L29" s="6" t="n">
        <f aca="false">H29*INDEX(Products!$E$2:$E$9,MATCH(E29,Products!$A$2:$A$9,0))</f>
        <v>201</v>
      </c>
      <c r="M29" s="8" t="n">
        <f aca="false">K29-L29</f>
        <v>148</v>
      </c>
      <c r="N29" s="2" t="s">
        <v>28</v>
      </c>
      <c r="O29" s="2" t="s">
        <v>72</v>
      </c>
    </row>
    <row r="30" customFormat="false" ht="15" hidden="false" customHeight="false" outlineLevel="0" collapsed="false">
      <c r="A30" s="2" t="s">
        <v>80</v>
      </c>
      <c r="B30" s="3" t="n">
        <v>45668</v>
      </c>
      <c r="C30" s="2" t="s">
        <v>59</v>
      </c>
      <c r="D30" s="2" t="s">
        <v>60</v>
      </c>
      <c r="E30" s="2" t="s">
        <v>26</v>
      </c>
      <c r="F30" s="4" t="str">
        <f aca="false">INDEX(Products!$B$2:$B$9,MATCH(E30,Products!$A$2:$A$9,0))</f>
        <v>Analytics Basic</v>
      </c>
      <c r="G30" s="4" t="str">
        <f aca="false">INDEX(Products!$C$2:$C$9,MATCH(E30,Products!$A$2:$A$9,0))</f>
        <v>Software</v>
      </c>
      <c r="H30" s="5" t="n">
        <v>3</v>
      </c>
      <c r="I30" s="6" t="n">
        <f aca="false">INDEX(Products!$D$2:$D$9,MATCH(E30,Products!$A$2:$A$9,0))</f>
        <v>120</v>
      </c>
      <c r="J30" s="7" t="n">
        <v>0.1</v>
      </c>
      <c r="K30" s="8" t="n">
        <f aca="false">H30*I30*(1-J30)</f>
        <v>324</v>
      </c>
      <c r="L30" s="6" t="n">
        <f aca="false">H30*INDEX(Products!$E$2:$E$9,MATCH(E30,Products!$A$2:$A$9,0))</f>
        <v>54</v>
      </c>
      <c r="M30" s="8" t="n">
        <f aca="false">K30-L30</f>
        <v>270</v>
      </c>
      <c r="N30" s="2" t="s">
        <v>28</v>
      </c>
      <c r="O30" s="2" t="s">
        <v>62</v>
      </c>
    </row>
    <row r="31" customFormat="false" ht="15" hidden="false" customHeight="false" outlineLevel="0" collapsed="false">
      <c r="A31" s="2" t="s">
        <v>81</v>
      </c>
      <c r="B31" s="3" t="n">
        <v>45670</v>
      </c>
      <c r="C31" s="2" t="s">
        <v>16</v>
      </c>
      <c r="D31" s="2" t="s">
        <v>22</v>
      </c>
      <c r="E31" s="2" t="s">
        <v>26</v>
      </c>
      <c r="F31" s="4" t="str">
        <f aca="false">INDEX(Products!$B$2:$B$9,MATCH(E31,Products!$A$2:$A$9,0))</f>
        <v>Analytics Basic</v>
      </c>
      <c r="G31" s="4" t="str">
        <f aca="false">INDEX(Products!$C$2:$C$9,MATCH(E31,Products!$A$2:$A$9,0))</f>
        <v>Software</v>
      </c>
      <c r="H31" s="5" t="n">
        <v>1</v>
      </c>
      <c r="I31" s="6" t="n">
        <f aca="false">INDEX(Products!$D$2:$D$9,MATCH(E31,Products!$A$2:$A$9,0))</f>
        <v>120</v>
      </c>
      <c r="J31" s="7" t="n">
        <v>0</v>
      </c>
      <c r="K31" s="8" t="n">
        <f aca="false">H31*I31*(1-J31)</f>
        <v>120</v>
      </c>
      <c r="L31" s="6" t="n">
        <f aca="false">H31*INDEX(Products!$E$2:$E$9,MATCH(E31,Products!$A$2:$A$9,0))</f>
        <v>18</v>
      </c>
      <c r="M31" s="8" t="n">
        <f aca="false">K31-L31</f>
        <v>102</v>
      </c>
      <c r="N31" s="2" t="s">
        <v>38</v>
      </c>
      <c r="O31" s="2" t="s">
        <v>20</v>
      </c>
    </row>
    <row r="32" customFormat="false" ht="15" hidden="false" customHeight="false" outlineLevel="0" collapsed="false">
      <c r="A32" s="2" t="s">
        <v>82</v>
      </c>
      <c r="B32" s="3" t="n">
        <v>45670</v>
      </c>
      <c r="C32" s="2" t="s">
        <v>16</v>
      </c>
      <c r="D32" s="2" t="s">
        <v>25</v>
      </c>
      <c r="E32" s="2" t="s">
        <v>57</v>
      </c>
      <c r="F32" s="4" t="str">
        <f aca="false">INDEX(Products!$B$2:$B$9,MATCH(E32,Products!$A$2:$A$9,0))</f>
        <v>Edge Gateway</v>
      </c>
      <c r="G32" s="4" t="str">
        <f aca="false">INDEX(Products!$C$2:$C$9,MATCH(E32,Products!$A$2:$A$9,0))</f>
        <v>Hardware</v>
      </c>
      <c r="H32" s="5" t="n">
        <v>8</v>
      </c>
      <c r="I32" s="6" t="n">
        <f aca="false">INDEX(Products!$D$2:$D$9,MATCH(E32,Products!$A$2:$A$9,0))</f>
        <v>899</v>
      </c>
      <c r="J32" s="7" t="n">
        <v>0.1</v>
      </c>
      <c r="K32" s="8" t="n">
        <f aca="false">H32*I32*(1-J32)</f>
        <v>6472.8</v>
      </c>
      <c r="L32" s="6" t="n">
        <f aca="false">H32*INDEX(Products!$E$2:$E$9,MATCH(E32,Products!$A$2:$A$9,0))</f>
        <v>4896</v>
      </c>
      <c r="M32" s="8" t="n">
        <f aca="false">K32-L32</f>
        <v>1576.8</v>
      </c>
      <c r="N32" s="2" t="s">
        <v>28</v>
      </c>
      <c r="O32" s="2" t="s">
        <v>36</v>
      </c>
    </row>
    <row r="33" customFormat="false" ht="15" hidden="false" customHeight="false" outlineLevel="0" collapsed="false">
      <c r="A33" s="2" t="s">
        <v>83</v>
      </c>
      <c r="B33" s="3" t="n">
        <v>45670</v>
      </c>
      <c r="C33" s="2" t="s">
        <v>16</v>
      </c>
      <c r="D33" s="2" t="s">
        <v>17</v>
      </c>
      <c r="E33" s="2" t="s">
        <v>18</v>
      </c>
      <c r="F33" s="4" t="str">
        <f aca="false">INDEX(Products!$B$2:$B$9,MATCH(E33,Products!$A$2:$A$9,0))</f>
        <v>Sensor Hub Pro</v>
      </c>
      <c r="G33" s="4" t="str">
        <f aca="false">INDEX(Products!$C$2:$C$9,MATCH(E33,Products!$A$2:$A$9,0))</f>
        <v>Hardware</v>
      </c>
      <c r="H33" s="5" t="n">
        <v>1</v>
      </c>
      <c r="I33" s="6" t="n">
        <f aca="false">INDEX(Products!$D$2:$D$9,MATCH(E33,Products!$A$2:$A$9,0))</f>
        <v>349</v>
      </c>
      <c r="J33" s="7" t="n">
        <v>0.15</v>
      </c>
      <c r="K33" s="8" t="n">
        <f aca="false">H33*I33*(1-J33)</f>
        <v>296.65</v>
      </c>
      <c r="L33" s="6" t="n">
        <f aca="false">H33*INDEX(Products!$E$2:$E$9,MATCH(E33,Products!$A$2:$A$9,0))</f>
        <v>201</v>
      </c>
      <c r="M33" s="8" t="n">
        <f aca="false">K33-L33</f>
        <v>95.65</v>
      </c>
      <c r="N33" s="2" t="s">
        <v>19</v>
      </c>
      <c r="O33" s="2" t="s">
        <v>20</v>
      </c>
    </row>
    <row r="34" customFormat="false" ht="15" hidden="false" customHeight="false" outlineLevel="0" collapsed="false">
      <c r="A34" s="2" t="s">
        <v>84</v>
      </c>
      <c r="B34" s="3" t="n">
        <v>45670</v>
      </c>
      <c r="C34" s="2" t="s">
        <v>16</v>
      </c>
      <c r="D34" s="2" t="s">
        <v>22</v>
      </c>
      <c r="E34" s="2" t="s">
        <v>26</v>
      </c>
      <c r="F34" s="4" t="str">
        <f aca="false">INDEX(Products!$B$2:$B$9,MATCH(E34,Products!$A$2:$A$9,0))</f>
        <v>Analytics Basic</v>
      </c>
      <c r="G34" s="4" t="str">
        <f aca="false">INDEX(Products!$C$2:$C$9,MATCH(E34,Products!$A$2:$A$9,0))</f>
        <v>Software</v>
      </c>
      <c r="H34" s="5" t="n">
        <v>3</v>
      </c>
      <c r="I34" s="6" t="n">
        <f aca="false">INDEX(Products!$D$2:$D$9,MATCH(E34,Products!$A$2:$A$9,0))</f>
        <v>120</v>
      </c>
      <c r="J34" s="7" t="n">
        <v>0.05</v>
      </c>
      <c r="K34" s="8" t="n">
        <f aca="false">H34*I34*(1-J34)</f>
        <v>342</v>
      </c>
      <c r="L34" s="6" t="n">
        <f aca="false">H34*INDEX(Products!$E$2:$E$9,MATCH(E34,Products!$A$2:$A$9,0))</f>
        <v>54</v>
      </c>
      <c r="M34" s="8" t="n">
        <f aca="false">K34-L34</f>
        <v>288</v>
      </c>
      <c r="N34" s="2" t="s">
        <v>38</v>
      </c>
      <c r="O34" s="2" t="s">
        <v>36</v>
      </c>
    </row>
    <row r="35" customFormat="false" ht="15" hidden="false" customHeight="false" outlineLevel="0" collapsed="false">
      <c r="A35" s="2" t="s">
        <v>85</v>
      </c>
      <c r="B35" s="3" t="n">
        <v>45670</v>
      </c>
      <c r="C35" s="2" t="s">
        <v>59</v>
      </c>
      <c r="D35" s="2" t="s">
        <v>60</v>
      </c>
      <c r="E35" s="2" t="s">
        <v>23</v>
      </c>
      <c r="F35" s="4" t="str">
        <f aca="false">INDEX(Products!$B$2:$B$9,MATCH(E35,Products!$A$2:$A$9,0))</f>
        <v>Sensor Hub S</v>
      </c>
      <c r="G35" s="4" t="str">
        <f aca="false">INDEX(Products!$C$2:$C$9,MATCH(E35,Products!$A$2:$A$9,0))</f>
        <v>Hardware</v>
      </c>
      <c r="H35" s="5" t="n">
        <v>2</v>
      </c>
      <c r="I35" s="6" t="n">
        <f aca="false">INDEX(Products!$D$2:$D$9,MATCH(E35,Products!$A$2:$A$9,0))</f>
        <v>189</v>
      </c>
      <c r="J35" s="7" t="n">
        <v>0</v>
      </c>
      <c r="K35" s="8" t="n">
        <f aca="false">H35*I35*(1-J35)</f>
        <v>378</v>
      </c>
      <c r="L35" s="6" t="n">
        <f aca="false">H35*INDEX(Products!$E$2:$E$9,MATCH(E35,Products!$A$2:$A$9,0))</f>
        <v>196</v>
      </c>
      <c r="M35" s="8" t="n">
        <f aca="false">K35-L35</f>
        <v>182</v>
      </c>
      <c r="N35" s="2" t="s">
        <v>28</v>
      </c>
      <c r="O35" s="2" t="s">
        <v>62</v>
      </c>
    </row>
    <row r="36" customFormat="false" ht="15" hidden="false" customHeight="false" outlineLevel="0" collapsed="false">
      <c r="A36" s="2" t="s">
        <v>86</v>
      </c>
      <c r="B36" s="3" t="n">
        <v>45671</v>
      </c>
      <c r="C36" s="2" t="s">
        <v>47</v>
      </c>
      <c r="D36" s="2" t="s">
        <v>55</v>
      </c>
      <c r="E36" s="2" t="s">
        <v>49</v>
      </c>
      <c r="F36" s="4" t="str">
        <f aca="false">INDEX(Products!$B$2:$B$9,MATCH(E36,Products!$A$2:$A$9,0))</f>
        <v>Mounting Kit</v>
      </c>
      <c r="G36" s="4" t="str">
        <f aca="false">INDEX(Products!$C$2:$C$9,MATCH(E36,Products!$A$2:$A$9,0))</f>
        <v>Accessories</v>
      </c>
      <c r="H36" s="5" t="n">
        <v>12</v>
      </c>
      <c r="I36" s="6" t="n">
        <f aca="false">INDEX(Products!$D$2:$D$9,MATCH(E36,Products!$A$2:$A$9,0))</f>
        <v>39</v>
      </c>
      <c r="J36" s="7" t="n">
        <v>0.05</v>
      </c>
      <c r="K36" s="8" t="n">
        <f aca="false">H36*I36*(1-J36)</f>
        <v>444.6</v>
      </c>
      <c r="L36" s="6" t="n">
        <f aca="false">H36*INDEX(Products!$E$2:$E$9,MATCH(E36,Products!$A$2:$A$9,0))</f>
        <v>378</v>
      </c>
      <c r="M36" s="8" t="n">
        <f aca="false">K36-L36</f>
        <v>66.6</v>
      </c>
      <c r="N36" s="2" t="s">
        <v>28</v>
      </c>
      <c r="O36" s="2" t="s">
        <v>72</v>
      </c>
    </row>
    <row r="37" customFormat="false" ht="15" hidden="false" customHeight="false" outlineLevel="0" collapsed="false">
      <c r="A37" s="2" t="s">
        <v>87</v>
      </c>
      <c r="B37" s="3" t="n">
        <v>45671</v>
      </c>
      <c r="C37" s="2" t="s">
        <v>47</v>
      </c>
      <c r="D37" s="2" t="s">
        <v>48</v>
      </c>
      <c r="E37" s="2" t="s">
        <v>26</v>
      </c>
      <c r="F37" s="4" t="str">
        <f aca="false">INDEX(Products!$B$2:$B$9,MATCH(E37,Products!$A$2:$A$9,0))</f>
        <v>Analytics Basic</v>
      </c>
      <c r="G37" s="4" t="str">
        <f aca="false">INDEX(Products!$C$2:$C$9,MATCH(E37,Products!$A$2:$A$9,0))</f>
        <v>Software</v>
      </c>
      <c r="H37" s="5" t="n">
        <v>3</v>
      </c>
      <c r="I37" s="6" t="n">
        <f aca="false">INDEX(Products!$D$2:$D$9,MATCH(E37,Products!$A$2:$A$9,0))</f>
        <v>120</v>
      </c>
      <c r="J37" s="7" t="n">
        <v>0</v>
      </c>
      <c r="K37" s="8" t="n">
        <f aca="false">H37*I37*(1-J37)</f>
        <v>360</v>
      </c>
      <c r="L37" s="6" t="n">
        <f aca="false">H37*INDEX(Products!$E$2:$E$9,MATCH(E37,Products!$A$2:$A$9,0))</f>
        <v>54</v>
      </c>
      <c r="M37" s="8" t="n">
        <f aca="false">K37-L37</f>
        <v>306</v>
      </c>
      <c r="N37" s="2" t="s">
        <v>28</v>
      </c>
      <c r="O37" s="2" t="s">
        <v>50</v>
      </c>
    </row>
    <row r="38" customFormat="false" ht="15" hidden="false" customHeight="false" outlineLevel="0" collapsed="false">
      <c r="A38" s="2" t="s">
        <v>88</v>
      </c>
      <c r="B38" s="3" t="n">
        <v>45672</v>
      </c>
      <c r="C38" s="2" t="s">
        <v>41</v>
      </c>
      <c r="D38" s="2" t="s">
        <v>42</v>
      </c>
      <c r="E38" s="2" t="s">
        <v>18</v>
      </c>
      <c r="F38" s="4" t="str">
        <f aca="false">INDEX(Products!$B$2:$B$9,MATCH(E38,Products!$A$2:$A$9,0))</f>
        <v>Sensor Hub Pro</v>
      </c>
      <c r="G38" s="4" t="str">
        <f aca="false">INDEX(Products!$C$2:$C$9,MATCH(E38,Products!$A$2:$A$9,0))</f>
        <v>Hardware</v>
      </c>
      <c r="H38" s="5" t="n">
        <v>4</v>
      </c>
      <c r="I38" s="6" t="n">
        <f aca="false">INDEX(Products!$D$2:$D$9,MATCH(E38,Products!$A$2:$A$9,0))</f>
        <v>349</v>
      </c>
      <c r="J38" s="7" t="n">
        <v>0</v>
      </c>
      <c r="K38" s="8" t="n">
        <f aca="false">H38*I38*(1-J38)</f>
        <v>1396</v>
      </c>
      <c r="L38" s="6" t="n">
        <f aca="false">H38*INDEX(Products!$E$2:$E$9,MATCH(E38,Products!$A$2:$A$9,0))</f>
        <v>804</v>
      </c>
      <c r="M38" s="8" t="n">
        <f aca="false">K38-L38</f>
        <v>592</v>
      </c>
      <c r="N38" s="2" t="s">
        <v>38</v>
      </c>
      <c r="O38" s="2" t="s">
        <v>52</v>
      </c>
    </row>
    <row r="39" customFormat="false" ht="15" hidden="false" customHeight="false" outlineLevel="0" collapsed="false">
      <c r="A39" s="2" t="s">
        <v>89</v>
      </c>
      <c r="B39" s="3" t="n">
        <v>45672</v>
      </c>
      <c r="C39" s="2" t="s">
        <v>41</v>
      </c>
      <c r="D39" s="2" t="s">
        <v>66</v>
      </c>
      <c r="E39" s="2" t="s">
        <v>26</v>
      </c>
      <c r="F39" s="4" t="str">
        <f aca="false">INDEX(Products!$B$2:$B$9,MATCH(E39,Products!$A$2:$A$9,0))</f>
        <v>Analytics Basic</v>
      </c>
      <c r="G39" s="4" t="str">
        <f aca="false">INDEX(Products!$C$2:$C$9,MATCH(E39,Products!$A$2:$A$9,0))</f>
        <v>Software</v>
      </c>
      <c r="H39" s="5" t="n">
        <v>1</v>
      </c>
      <c r="I39" s="6" t="n">
        <f aca="false">INDEX(Products!$D$2:$D$9,MATCH(E39,Products!$A$2:$A$9,0))</f>
        <v>120</v>
      </c>
      <c r="J39" s="7" t="n">
        <v>0</v>
      </c>
      <c r="K39" s="8" t="n">
        <f aca="false">H39*I39*(1-J39)</f>
        <v>120</v>
      </c>
      <c r="L39" s="6" t="n">
        <f aca="false">H39*INDEX(Products!$E$2:$E$9,MATCH(E39,Products!$A$2:$A$9,0))</f>
        <v>18</v>
      </c>
      <c r="M39" s="8" t="n">
        <f aca="false">K39-L39</f>
        <v>102</v>
      </c>
      <c r="N39" s="2" t="s">
        <v>28</v>
      </c>
      <c r="O39" s="2" t="s">
        <v>43</v>
      </c>
    </row>
    <row r="40" customFormat="false" ht="15" hidden="false" customHeight="false" outlineLevel="0" collapsed="false">
      <c r="A40" s="2" t="s">
        <v>90</v>
      </c>
      <c r="B40" s="3" t="n">
        <v>45672</v>
      </c>
      <c r="C40" s="2" t="s">
        <v>59</v>
      </c>
      <c r="D40" s="2" t="s">
        <v>91</v>
      </c>
      <c r="E40" s="2" t="s">
        <v>49</v>
      </c>
      <c r="F40" s="4" t="str">
        <f aca="false">INDEX(Products!$B$2:$B$9,MATCH(E40,Products!$A$2:$A$9,0))</f>
        <v>Mounting Kit</v>
      </c>
      <c r="G40" s="4" t="str">
        <f aca="false">INDEX(Products!$C$2:$C$9,MATCH(E40,Products!$A$2:$A$9,0))</f>
        <v>Accessories</v>
      </c>
      <c r="H40" s="5" t="n">
        <v>2</v>
      </c>
      <c r="I40" s="6" t="n">
        <f aca="false">INDEX(Products!$D$2:$D$9,MATCH(E40,Products!$A$2:$A$9,0))</f>
        <v>39</v>
      </c>
      <c r="J40" s="7" t="n">
        <v>0</v>
      </c>
      <c r="K40" s="8" t="n">
        <f aca="false">H40*I40*(1-J40)</f>
        <v>78</v>
      </c>
      <c r="L40" s="6" t="n">
        <f aca="false">H40*INDEX(Products!$E$2:$E$9,MATCH(E40,Products!$A$2:$A$9,0))</f>
        <v>63</v>
      </c>
      <c r="M40" s="8" t="n">
        <f aca="false">K40-L40</f>
        <v>15</v>
      </c>
      <c r="N40" s="2" t="s">
        <v>28</v>
      </c>
      <c r="O40" s="2" t="s">
        <v>62</v>
      </c>
    </row>
    <row r="41" customFormat="false" ht="15" hidden="false" customHeight="false" outlineLevel="0" collapsed="false">
      <c r="A41" s="2" t="s">
        <v>92</v>
      </c>
      <c r="B41" s="3" t="n">
        <v>45673</v>
      </c>
      <c r="C41" s="2" t="s">
        <v>41</v>
      </c>
      <c r="D41" s="2" t="s">
        <v>66</v>
      </c>
      <c r="E41" s="2" t="s">
        <v>49</v>
      </c>
      <c r="F41" s="4" t="str">
        <f aca="false">INDEX(Products!$B$2:$B$9,MATCH(E41,Products!$A$2:$A$9,0))</f>
        <v>Mounting Kit</v>
      </c>
      <c r="G41" s="4" t="str">
        <f aca="false">INDEX(Products!$C$2:$C$9,MATCH(E41,Products!$A$2:$A$9,0))</f>
        <v>Accessories</v>
      </c>
      <c r="H41" s="5" t="n">
        <v>20</v>
      </c>
      <c r="I41" s="6" t="n">
        <f aca="false">INDEX(Products!$D$2:$D$9,MATCH(E41,Products!$A$2:$A$9,0))</f>
        <v>39</v>
      </c>
      <c r="J41" s="7" t="n">
        <v>0.2</v>
      </c>
      <c r="K41" s="8" t="n">
        <f aca="false">H41*I41*(1-J41)</f>
        <v>624</v>
      </c>
      <c r="L41" s="6" t="n">
        <f aca="false">H41*INDEX(Products!$E$2:$E$9,MATCH(E41,Products!$A$2:$A$9,0))</f>
        <v>630</v>
      </c>
      <c r="M41" s="8" t="n">
        <f aca="false">K41-L41</f>
        <v>-6</v>
      </c>
      <c r="N41" s="2" t="s">
        <v>19</v>
      </c>
      <c r="O41" s="2" t="s">
        <v>43</v>
      </c>
    </row>
    <row r="42" customFormat="false" ht="15" hidden="false" customHeight="false" outlineLevel="0" collapsed="false">
      <c r="A42" s="2" t="s">
        <v>93</v>
      </c>
      <c r="B42" s="3" t="n">
        <v>45673</v>
      </c>
      <c r="C42" s="2" t="s">
        <v>59</v>
      </c>
      <c r="D42" s="2" t="s">
        <v>60</v>
      </c>
      <c r="E42" s="2" t="s">
        <v>23</v>
      </c>
      <c r="F42" s="4" t="str">
        <f aca="false">INDEX(Products!$B$2:$B$9,MATCH(E42,Products!$A$2:$A$9,0))</f>
        <v>Sensor Hub S</v>
      </c>
      <c r="G42" s="4" t="str">
        <f aca="false">INDEX(Products!$C$2:$C$9,MATCH(E42,Products!$A$2:$A$9,0))</f>
        <v>Hardware</v>
      </c>
      <c r="H42" s="5" t="n">
        <v>1</v>
      </c>
      <c r="I42" s="6" t="n">
        <f aca="false">INDEX(Products!$D$2:$D$9,MATCH(E42,Products!$A$2:$A$9,0))</f>
        <v>189</v>
      </c>
      <c r="J42" s="7" t="n">
        <v>0.1</v>
      </c>
      <c r="K42" s="8" t="n">
        <f aca="false">H42*I42*(1-J42)</f>
        <v>170.1</v>
      </c>
      <c r="L42" s="6" t="n">
        <f aca="false">H42*INDEX(Products!$E$2:$E$9,MATCH(E42,Products!$A$2:$A$9,0))</f>
        <v>98</v>
      </c>
      <c r="M42" s="8" t="n">
        <f aca="false">K42-L42</f>
        <v>72.1</v>
      </c>
      <c r="N42" s="2" t="s">
        <v>38</v>
      </c>
      <c r="O42" s="2" t="s">
        <v>62</v>
      </c>
    </row>
    <row r="43" customFormat="false" ht="15" hidden="false" customHeight="false" outlineLevel="0" collapsed="false">
      <c r="A43" s="2" t="s">
        <v>94</v>
      </c>
      <c r="B43" s="3" t="n">
        <v>45673</v>
      </c>
      <c r="C43" s="2" t="s">
        <v>16</v>
      </c>
      <c r="D43" s="2" t="s">
        <v>35</v>
      </c>
      <c r="E43" s="2" t="s">
        <v>32</v>
      </c>
      <c r="F43" s="4" t="str">
        <f aca="false">INDEX(Products!$B$2:$B$9,MATCH(E43,Products!$A$2:$A$9,0))</f>
        <v>Analytics Plus</v>
      </c>
      <c r="G43" s="4" t="str">
        <f aca="false">INDEX(Products!$C$2:$C$9,MATCH(E43,Products!$A$2:$A$9,0))</f>
        <v>Software</v>
      </c>
      <c r="H43" s="5" t="n">
        <v>5</v>
      </c>
      <c r="I43" s="6" t="n">
        <f aca="false">INDEX(Products!$D$2:$D$9,MATCH(E43,Products!$A$2:$A$9,0))</f>
        <v>290</v>
      </c>
      <c r="J43" s="7" t="n">
        <v>0.1</v>
      </c>
      <c r="K43" s="8" t="n">
        <f aca="false">H43*I43*(1-J43)</f>
        <v>1305</v>
      </c>
      <c r="L43" s="6" t="n">
        <f aca="false">H43*INDEX(Products!$E$2:$E$9,MATCH(E43,Products!$A$2:$A$9,0))</f>
        <v>205</v>
      </c>
      <c r="M43" s="8" t="n">
        <f aca="false">K43-L43</f>
        <v>1100</v>
      </c>
      <c r="N43" s="2" t="s">
        <v>28</v>
      </c>
      <c r="O43" s="2" t="s">
        <v>20</v>
      </c>
    </row>
    <row r="44" customFormat="false" ht="15" hidden="false" customHeight="false" outlineLevel="0" collapsed="false">
      <c r="A44" s="2" t="s">
        <v>95</v>
      </c>
      <c r="B44" s="3" t="n">
        <v>45673</v>
      </c>
      <c r="C44" s="2" t="s">
        <v>16</v>
      </c>
      <c r="D44" s="2" t="s">
        <v>35</v>
      </c>
      <c r="E44" s="2" t="s">
        <v>49</v>
      </c>
      <c r="F44" s="4" t="str">
        <f aca="false">INDEX(Products!$B$2:$B$9,MATCH(E44,Products!$A$2:$A$9,0))</f>
        <v>Mounting Kit</v>
      </c>
      <c r="G44" s="4" t="str">
        <f aca="false">INDEX(Products!$C$2:$C$9,MATCH(E44,Products!$A$2:$A$9,0))</f>
        <v>Accessories</v>
      </c>
      <c r="H44" s="5" t="n">
        <v>1</v>
      </c>
      <c r="I44" s="6" t="n">
        <f aca="false">INDEX(Products!$D$2:$D$9,MATCH(E44,Products!$A$2:$A$9,0))</f>
        <v>39</v>
      </c>
      <c r="J44" s="7" t="n">
        <v>0.05</v>
      </c>
      <c r="K44" s="8" t="n">
        <f aca="false">H44*I44*(1-J44)</f>
        <v>37.05</v>
      </c>
      <c r="L44" s="6" t="n">
        <f aca="false">H44*INDEX(Products!$E$2:$E$9,MATCH(E44,Products!$A$2:$A$9,0))</f>
        <v>31.5</v>
      </c>
      <c r="M44" s="8" t="n">
        <f aca="false">K44-L44</f>
        <v>5.55</v>
      </c>
      <c r="N44" s="2" t="s">
        <v>28</v>
      </c>
      <c r="O44" s="2" t="s">
        <v>36</v>
      </c>
    </row>
    <row r="45" customFormat="false" ht="15" hidden="false" customHeight="false" outlineLevel="0" collapsed="false">
      <c r="A45" s="2" t="s">
        <v>96</v>
      </c>
      <c r="B45" s="3" t="n">
        <v>45674</v>
      </c>
      <c r="C45" s="2" t="s">
        <v>41</v>
      </c>
      <c r="D45" s="2" t="s">
        <v>42</v>
      </c>
      <c r="E45" s="2" t="s">
        <v>18</v>
      </c>
      <c r="F45" s="4" t="str">
        <f aca="false">INDEX(Products!$B$2:$B$9,MATCH(E45,Products!$A$2:$A$9,0))</f>
        <v>Sensor Hub Pro</v>
      </c>
      <c r="G45" s="4" t="str">
        <f aca="false">INDEX(Products!$C$2:$C$9,MATCH(E45,Products!$A$2:$A$9,0))</f>
        <v>Hardware</v>
      </c>
      <c r="H45" s="5" t="n">
        <v>8</v>
      </c>
      <c r="I45" s="6" t="n">
        <f aca="false">INDEX(Products!$D$2:$D$9,MATCH(E45,Products!$A$2:$A$9,0))</f>
        <v>349</v>
      </c>
      <c r="J45" s="7" t="n">
        <v>0.15</v>
      </c>
      <c r="K45" s="8" t="n">
        <f aca="false">H45*I45*(1-J45)</f>
        <v>2373.2</v>
      </c>
      <c r="L45" s="6" t="n">
        <f aca="false">H45*INDEX(Products!$E$2:$E$9,MATCH(E45,Products!$A$2:$A$9,0))</f>
        <v>1608</v>
      </c>
      <c r="M45" s="8" t="n">
        <f aca="false">K45-L45</f>
        <v>765.2</v>
      </c>
      <c r="N45" s="2" t="s">
        <v>19</v>
      </c>
      <c r="O45" s="2" t="s">
        <v>43</v>
      </c>
    </row>
    <row r="46" customFormat="false" ht="15" hidden="false" customHeight="false" outlineLevel="0" collapsed="false">
      <c r="A46" s="2" t="s">
        <v>97</v>
      </c>
      <c r="B46" s="3" t="n">
        <v>45674</v>
      </c>
      <c r="C46" s="2" t="s">
        <v>16</v>
      </c>
      <c r="D46" s="2" t="s">
        <v>35</v>
      </c>
      <c r="E46" s="2" t="s">
        <v>49</v>
      </c>
      <c r="F46" s="4" t="str">
        <f aca="false">INDEX(Products!$B$2:$B$9,MATCH(E46,Products!$A$2:$A$9,0))</f>
        <v>Mounting Kit</v>
      </c>
      <c r="G46" s="4" t="str">
        <f aca="false">INDEX(Products!$C$2:$C$9,MATCH(E46,Products!$A$2:$A$9,0))</f>
        <v>Accessories</v>
      </c>
      <c r="H46" s="5" t="n">
        <v>2</v>
      </c>
      <c r="I46" s="6" t="n">
        <f aca="false">INDEX(Products!$D$2:$D$9,MATCH(E46,Products!$A$2:$A$9,0))</f>
        <v>39</v>
      </c>
      <c r="J46" s="7" t="n">
        <v>0.25</v>
      </c>
      <c r="K46" s="8" t="n">
        <f aca="false">H46*I46*(1-J46)</f>
        <v>58.5</v>
      </c>
      <c r="L46" s="6" t="n">
        <f aca="false">H46*INDEX(Products!$E$2:$E$9,MATCH(E46,Products!$A$2:$A$9,0))</f>
        <v>63</v>
      </c>
      <c r="M46" s="8" t="n">
        <f aca="false">K46-L46</f>
        <v>-4.5</v>
      </c>
      <c r="N46" s="2" t="s">
        <v>19</v>
      </c>
      <c r="O46" s="2" t="s">
        <v>36</v>
      </c>
    </row>
    <row r="47" customFormat="false" ht="15" hidden="false" customHeight="false" outlineLevel="0" collapsed="false">
      <c r="A47" s="2" t="s">
        <v>98</v>
      </c>
      <c r="B47" s="3" t="n">
        <v>45674</v>
      </c>
      <c r="C47" s="2" t="s">
        <v>47</v>
      </c>
      <c r="D47" s="2" t="s">
        <v>55</v>
      </c>
      <c r="E47" s="2" t="s">
        <v>23</v>
      </c>
      <c r="F47" s="4" t="str">
        <f aca="false">INDEX(Products!$B$2:$B$9,MATCH(E47,Products!$A$2:$A$9,0))</f>
        <v>Sensor Hub S</v>
      </c>
      <c r="G47" s="4" t="str">
        <f aca="false">INDEX(Products!$C$2:$C$9,MATCH(E47,Products!$A$2:$A$9,0))</f>
        <v>Hardware</v>
      </c>
      <c r="H47" s="5" t="n">
        <v>4</v>
      </c>
      <c r="I47" s="6" t="n">
        <f aca="false">INDEX(Products!$D$2:$D$9,MATCH(E47,Products!$A$2:$A$9,0))</f>
        <v>189</v>
      </c>
      <c r="J47" s="7" t="n">
        <v>0.15</v>
      </c>
      <c r="K47" s="8" t="n">
        <f aca="false">H47*I47*(1-J47)</f>
        <v>642.6</v>
      </c>
      <c r="L47" s="6" t="n">
        <f aca="false">H47*INDEX(Products!$E$2:$E$9,MATCH(E47,Products!$A$2:$A$9,0))</f>
        <v>392</v>
      </c>
      <c r="M47" s="8" t="n">
        <f aca="false">K47-L47</f>
        <v>250.6</v>
      </c>
      <c r="N47" s="2" t="s">
        <v>38</v>
      </c>
      <c r="O47" s="2" t="s">
        <v>50</v>
      </c>
    </row>
    <row r="48" customFormat="false" ht="15" hidden="false" customHeight="false" outlineLevel="0" collapsed="false">
      <c r="A48" s="2" t="s">
        <v>99</v>
      </c>
      <c r="B48" s="3" t="n">
        <v>45674</v>
      </c>
      <c r="C48" s="2" t="s">
        <v>16</v>
      </c>
      <c r="D48" s="2" t="s">
        <v>25</v>
      </c>
      <c r="E48" s="2" t="s">
        <v>18</v>
      </c>
      <c r="F48" s="4" t="str">
        <f aca="false">INDEX(Products!$B$2:$B$9,MATCH(E48,Products!$A$2:$A$9,0))</f>
        <v>Sensor Hub Pro</v>
      </c>
      <c r="G48" s="4" t="str">
        <f aca="false">INDEX(Products!$C$2:$C$9,MATCH(E48,Products!$A$2:$A$9,0))</f>
        <v>Hardware</v>
      </c>
      <c r="H48" s="5" t="n">
        <v>1</v>
      </c>
      <c r="I48" s="6" t="n">
        <f aca="false">INDEX(Products!$D$2:$D$9,MATCH(E48,Products!$A$2:$A$9,0))</f>
        <v>349</v>
      </c>
      <c r="J48" s="7" t="n">
        <v>0.05</v>
      </c>
      <c r="K48" s="8" t="n">
        <f aca="false">H48*I48*(1-J48)</f>
        <v>331.55</v>
      </c>
      <c r="L48" s="6" t="n">
        <f aca="false">H48*INDEX(Products!$E$2:$E$9,MATCH(E48,Products!$A$2:$A$9,0))</f>
        <v>201</v>
      </c>
      <c r="M48" s="8" t="n">
        <f aca="false">K48-L48</f>
        <v>130.55</v>
      </c>
      <c r="N48" s="2" t="s">
        <v>28</v>
      </c>
      <c r="O48" s="2" t="s">
        <v>36</v>
      </c>
    </row>
    <row r="49" customFormat="false" ht="15" hidden="false" customHeight="false" outlineLevel="0" collapsed="false">
      <c r="A49" s="2" t="s">
        <v>100</v>
      </c>
      <c r="B49" s="3" t="n">
        <v>45674</v>
      </c>
      <c r="C49" s="2" t="s">
        <v>59</v>
      </c>
      <c r="D49" s="2" t="s">
        <v>101</v>
      </c>
      <c r="E49" s="2" t="s">
        <v>18</v>
      </c>
      <c r="F49" s="4" t="str">
        <f aca="false">INDEX(Products!$B$2:$B$9,MATCH(E49,Products!$A$2:$A$9,0))</f>
        <v>Sensor Hub Pro</v>
      </c>
      <c r="G49" s="4" t="str">
        <f aca="false">INDEX(Products!$C$2:$C$9,MATCH(E49,Products!$A$2:$A$9,0))</f>
        <v>Hardware</v>
      </c>
      <c r="H49" s="5" t="n">
        <v>2</v>
      </c>
      <c r="I49" s="6" t="n">
        <f aca="false">INDEX(Products!$D$2:$D$9,MATCH(E49,Products!$A$2:$A$9,0))</f>
        <v>349</v>
      </c>
      <c r="J49" s="7" t="n">
        <v>0.15</v>
      </c>
      <c r="K49" s="8" t="n">
        <f aca="false">H49*I49*(1-J49)</f>
        <v>593.3</v>
      </c>
      <c r="L49" s="6" t="n">
        <f aca="false">H49*INDEX(Products!$E$2:$E$9,MATCH(E49,Products!$A$2:$A$9,0))</f>
        <v>402</v>
      </c>
      <c r="M49" s="8" t="n">
        <f aca="false">K49-L49</f>
        <v>191.3</v>
      </c>
      <c r="N49" s="2" t="s">
        <v>38</v>
      </c>
      <c r="O49" s="2" t="s">
        <v>62</v>
      </c>
    </row>
    <row r="50" customFormat="false" ht="15" hidden="false" customHeight="false" outlineLevel="0" collapsed="false">
      <c r="A50" s="2" t="s">
        <v>102</v>
      </c>
      <c r="B50" s="3" t="n">
        <v>45675</v>
      </c>
      <c r="C50" s="2" t="s">
        <v>41</v>
      </c>
      <c r="D50" s="2" t="s">
        <v>42</v>
      </c>
      <c r="E50" s="2" t="s">
        <v>18</v>
      </c>
      <c r="F50" s="4" t="str">
        <f aca="false">INDEX(Products!$B$2:$B$9,MATCH(E50,Products!$A$2:$A$9,0))</f>
        <v>Sensor Hub Pro</v>
      </c>
      <c r="G50" s="4" t="str">
        <f aca="false">INDEX(Products!$C$2:$C$9,MATCH(E50,Products!$A$2:$A$9,0))</f>
        <v>Hardware</v>
      </c>
      <c r="H50" s="5" t="n">
        <v>5</v>
      </c>
      <c r="I50" s="6" t="n">
        <f aca="false">INDEX(Products!$D$2:$D$9,MATCH(E50,Products!$A$2:$A$9,0))</f>
        <v>349</v>
      </c>
      <c r="J50" s="7" t="n">
        <v>0.25</v>
      </c>
      <c r="K50" s="8" t="n">
        <f aca="false">H50*I50*(1-J50)</f>
        <v>1308.75</v>
      </c>
      <c r="L50" s="6" t="n">
        <f aca="false">H50*INDEX(Products!$E$2:$E$9,MATCH(E50,Products!$A$2:$A$9,0))</f>
        <v>1005</v>
      </c>
      <c r="M50" s="8" t="n">
        <f aca="false">K50-L50</f>
        <v>303.75</v>
      </c>
      <c r="N50" s="2" t="s">
        <v>19</v>
      </c>
      <c r="O50" s="2" t="s">
        <v>52</v>
      </c>
    </row>
    <row r="51" customFormat="false" ht="15" hidden="false" customHeight="false" outlineLevel="0" collapsed="false">
      <c r="A51" s="2" t="s">
        <v>103</v>
      </c>
      <c r="B51" s="3" t="n">
        <v>45677</v>
      </c>
      <c r="C51" s="2" t="s">
        <v>16</v>
      </c>
      <c r="D51" s="2" t="s">
        <v>35</v>
      </c>
      <c r="E51" s="2" t="s">
        <v>26</v>
      </c>
      <c r="F51" s="4" t="str">
        <f aca="false">INDEX(Products!$B$2:$B$9,MATCH(E51,Products!$A$2:$A$9,0))</f>
        <v>Analytics Basic</v>
      </c>
      <c r="G51" s="4" t="str">
        <f aca="false">INDEX(Products!$C$2:$C$9,MATCH(E51,Products!$A$2:$A$9,0))</f>
        <v>Software</v>
      </c>
      <c r="H51" s="5" t="n">
        <v>1</v>
      </c>
      <c r="I51" s="6" t="n">
        <f aca="false">INDEX(Products!$D$2:$D$9,MATCH(E51,Products!$A$2:$A$9,0))</f>
        <v>120</v>
      </c>
      <c r="J51" s="7" t="n">
        <v>0.15</v>
      </c>
      <c r="K51" s="8" t="n">
        <f aca="false">H51*I51*(1-J51)</f>
        <v>102</v>
      </c>
      <c r="L51" s="6" t="n">
        <f aca="false">H51*INDEX(Products!$E$2:$E$9,MATCH(E51,Products!$A$2:$A$9,0))</f>
        <v>18</v>
      </c>
      <c r="M51" s="8" t="n">
        <f aca="false">K51-L51</f>
        <v>84</v>
      </c>
      <c r="N51" s="2" t="s">
        <v>19</v>
      </c>
      <c r="O51" s="2" t="s">
        <v>20</v>
      </c>
    </row>
    <row r="52" customFormat="false" ht="15" hidden="false" customHeight="false" outlineLevel="0" collapsed="false">
      <c r="A52" s="2" t="s">
        <v>104</v>
      </c>
      <c r="B52" s="3" t="n">
        <v>45677</v>
      </c>
      <c r="C52" s="2" t="s">
        <v>30</v>
      </c>
      <c r="D52" s="2" t="s">
        <v>77</v>
      </c>
      <c r="E52" s="2" t="s">
        <v>68</v>
      </c>
      <c r="F52" s="4" t="str">
        <f aca="false">INDEX(Products!$B$2:$B$9,MATCH(E52,Products!$A$2:$A$9,0))</f>
        <v>Premium Support</v>
      </c>
      <c r="G52" s="4" t="str">
        <f aca="false">INDEX(Products!$C$2:$C$9,MATCH(E52,Products!$A$2:$A$9,0))</f>
        <v>Services</v>
      </c>
      <c r="H52" s="5" t="n">
        <v>1</v>
      </c>
      <c r="I52" s="6" t="n">
        <f aca="false">INDEX(Products!$D$2:$D$9,MATCH(E52,Products!$A$2:$A$9,0))</f>
        <v>600</v>
      </c>
      <c r="J52" s="7" t="n">
        <v>0</v>
      </c>
      <c r="K52" s="8" t="n">
        <f aca="false">H52*I52*(1-J52)</f>
        <v>600</v>
      </c>
      <c r="L52" s="6" t="n">
        <f aca="false">H52*INDEX(Products!$E$2:$E$9,MATCH(E52,Products!$A$2:$A$9,0))</f>
        <v>395</v>
      </c>
      <c r="M52" s="8" t="n">
        <f aca="false">K52-L52</f>
        <v>205</v>
      </c>
      <c r="N52" s="2" t="s">
        <v>28</v>
      </c>
      <c r="O52" s="2" t="s">
        <v>33</v>
      </c>
    </row>
    <row r="53" customFormat="false" ht="15" hidden="false" customHeight="false" outlineLevel="0" collapsed="false">
      <c r="A53" s="2" t="s">
        <v>105</v>
      </c>
      <c r="B53" s="3" t="n">
        <v>45677</v>
      </c>
      <c r="C53" s="2" t="s">
        <v>16</v>
      </c>
      <c r="D53" s="2" t="s">
        <v>25</v>
      </c>
      <c r="E53" s="2" t="s">
        <v>23</v>
      </c>
      <c r="F53" s="4" t="str">
        <f aca="false">INDEX(Products!$B$2:$B$9,MATCH(E53,Products!$A$2:$A$9,0))</f>
        <v>Sensor Hub S</v>
      </c>
      <c r="G53" s="4" t="str">
        <f aca="false">INDEX(Products!$C$2:$C$9,MATCH(E53,Products!$A$2:$A$9,0))</f>
        <v>Hardware</v>
      </c>
      <c r="H53" s="5" t="n">
        <v>3</v>
      </c>
      <c r="I53" s="6" t="n">
        <f aca="false">INDEX(Products!$D$2:$D$9,MATCH(E53,Products!$A$2:$A$9,0))</f>
        <v>189</v>
      </c>
      <c r="J53" s="7" t="n">
        <v>0.05</v>
      </c>
      <c r="K53" s="8" t="n">
        <f aca="false">H53*I53*(1-J53)</f>
        <v>538.65</v>
      </c>
      <c r="L53" s="6" t="n">
        <f aca="false">H53*INDEX(Products!$E$2:$E$9,MATCH(E53,Products!$A$2:$A$9,0))</f>
        <v>294</v>
      </c>
      <c r="M53" s="8" t="n">
        <f aca="false">K53-L53</f>
        <v>244.65</v>
      </c>
      <c r="N53" s="2" t="s">
        <v>28</v>
      </c>
      <c r="O53" s="2" t="s">
        <v>20</v>
      </c>
    </row>
    <row r="54" customFormat="false" ht="15" hidden="false" customHeight="false" outlineLevel="0" collapsed="false">
      <c r="A54" s="2" t="s">
        <v>106</v>
      </c>
      <c r="B54" s="3" t="n">
        <v>45677</v>
      </c>
      <c r="C54" s="2" t="s">
        <v>59</v>
      </c>
      <c r="D54" s="2" t="s">
        <v>101</v>
      </c>
      <c r="E54" s="2" t="s">
        <v>23</v>
      </c>
      <c r="F54" s="4" t="str">
        <f aca="false">INDEX(Products!$B$2:$B$9,MATCH(E54,Products!$A$2:$A$9,0))</f>
        <v>Sensor Hub S</v>
      </c>
      <c r="G54" s="4" t="str">
        <f aca="false">INDEX(Products!$C$2:$C$9,MATCH(E54,Products!$A$2:$A$9,0))</f>
        <v>Hardware</v>
      </c>
      <c r="H54" s="5" t="n">
        <v>3</v>
      </c>
      <c r="I54" s="6" t="n">
        <f aca="false">INDEX(Products!$D$2:$D$9,MATCH(E54,Products!$A$2:$A$9,0))</f>
        <v>189</v>
      </c>
      <c r="J54" s="7" t="n">
        <v>0</v>
      </c>
      <c r="K54" s="8" t="n">
        <f aca="false">H54*I54*(1-J54)</f>
        <v>567</v>
      </c>
      <c r="L54" s="6" t="n">
        <f aca="false">H54*INDEX(Products!$E$2:$E$9,MATCH(E54,Products!$A$2:$A$9,0))</f>
        <v>294</v>
      </c>
      <c r="M54" s="8" t="n">
        <f aca="false">K54-L54</f>
        <v>273</v>
      </c>
      <c r="N54" s="2" t="s">
        <v>28</v>
      </c>
      <c r="O54" s="2" t="s">
        <v>62</v>
      </c>
    </row>
    <row r="55" customFormat="false" ht="15" hidden="false" customHeight="false" outlineLevel="0" collapsed="false">
      <c r="A55" s="2" t="s">
        <v>107</v>
      </c>
      <c r="B55" s="3" t="n">
        <v>45678</v>
      </c>
      <c r="C55" s="2" t="s">
        <v>30</v>
      </c>
      <c r="D55" s="2" t="s">
        <v>31</v>
      </c>
      <c r="E55" s="2" t="s">
        <v>26</v>
      </c>
      <c r="F55" s="4" t="str">
        <f aca="false">INDEX(Products!$B$2:$B$9,MATCH(E55,Products!$A$2:$A$9,0))</f>
        <v>Analytics Basic</v>
      </c>
      <c r="G55" s="4" t="str">
        <f aca="false">INDEX(Products!$C$2:$C$9,MATCH(E55,Products!$A$2:$A$9,0))</f>
        <v>Software</v>
      </c>
      <c r="H55" s="5" t="n">
        <v>3</v>
      </c>
      <c r="I55" s="6" t="n">
        <f aca="false">INDEX(Products!$D$2:$D$9,MATCH(E55,Products!$A$2:$A$9,0))</f>
        <v>120</v>
      </c>
      <c r="J55" s="7" t="n">
        <v>0.05</v>
      </c>
      <c r="K55" s="8" t="n">
        <f aca="false">H55*I55*(1-J55)</f>
        <v>342</v>
      </c>
      <c r="L55" s="6" t="n">
        <f aca="false">H55*INDEX(Products!$E$2:$E$9,MATCH(E55,Products!$A$2:$A$9,0))</f>
        <v>54</v>
      </c>
      <c r="M55" s="8" t="n">
        <f aca="false">K55-L55</f>
        <v>288</v>
      </c>
      <c r="N55" s="2" t="s">
        <v>28</v>
      </c>
      <c r="O55" s="2" t="s">
        <v>33</v>
      </c>
    </row>
    <row r="56" customFormat="false" ht="15" hidden="false" customHeight="false" outlineLevel="0" collapsed="false">
      <c r="A56" s="2" t="s">
        <v>108</v>
      </c>
      <c r="B56" s="3" t="n">
        <v>45678</v>
      </c>
      <c r="C56" s="2" t="s">
        <v>16</v>
      </c>
      <c r="D56" s="2" t="s">
        <v>22</v>
      </c>
      <c r="E56" s="2" t="s">
        <v>26</v>
      </c>
      <c r="F56" s="4" t="str">
        <f aca="false">INDEX(Products!$B$2:$B$9,MATCH(E56,Products!$A$2:$A$9,0))</f>
        <v>Analytics Basic</v>
      </c>
      <c r="G56" s="4" t="str">
        <f aca="false">INDEX(Products!$C$2:$C$9,MATCH(E56,Products!$A$2:$A$9,0))</f>
        <v>Software</v>
      </c>
      <c r="H56" s="5" t="n">
        <v>3</v>
      </c>
      <c r="I56" s="6" t="n">
        <f aca="false">INDEX(Products!$D$2:$D$9,MATCH(E56,Products!$A$2:$A$9,0))</f>
        <v>120</v>
      </c>
      <c r="J56" s="7" t="n">
        <v>0.05</v>
      </c>
      <c r="K56" s="8" t="n">
        <f aca="false">H56*I56*(1-J56)</f>
        <v>342</v>
      </c>
      <c r="L56" s="6" t="n">
        <f aca="false">H56*INDEX(Products!$E$2:$E$9,MATCH(E56,Products!$A$2:$A$9,0))</f>
        <v>54</v>
      </c>
      <c r="M56" s="8" t="n">
        <f aca="false">K56-L56</f>
        <v>288</v>
      </c>
      <c r="N56" s="2" t="s">
        <v>38</v>
      </c>
      <c r="O56" s="2" t="s">
        <v>20</v>
      </c>
    </row>
    <row r="57" customFormat="false" ht="15" hidden="false" customHeight="false" outlineLevel="0" collapsed="false">
      <c r="A57" s="2" t="s">
        <v>109</v>
      </c>
      <c r="B57" s="3" t="n">
        <v>45679</v>
      </c>
      <c r="C57" s="2" t="s">
        <v>47</v>
      </c>
      <c r="D57" s="2" t="s">
        <v>55</v>
      </c>
      <c r="E57" s="2" t="s">
        <v>49</v>
      </c>
      <c r="F57" s="4" t="str">
        <f aca="false">INDEX(Products!$B$2:$B$9,MATCH(E57,Products!$A$2:$A$9,0))</f>
        <v>Mounting Kit</v>
      </c>
      <c r="G57" s="4" t="str">
        <f aca="false">INDEX(Products!$C$2:$C$9,MATCH(E57,Products!$A$2:$A$9,0))</f>
        <v>Accessories</v>
      </c>
      <c r="H57" s="5" t="n">
        <v>4</v>
      </c>
      <c r="I57" s="6" t="n">
        <f aca="false">INDEX(Products!$D$2:$D$9,MATCH(E57,Products!$A$2:$A$9,0))</f>
        <v>39</v>
      </c>
      <c r="J57" s="7" t="n">
        <v>0.2</v>
      </c>
      <c r="K57" s="8" t="n">
        <f aca="false">H57*I57*(1-J57)</f>
        <v>124.8</v>
      </c>
      <c r="L57" s="6" t="n">
        <f aca="false">H57*INDEX(Products!$E$2:$E$9,MATCH(E57,Products!$A$2:$A$9,0))</f>
        <v>126</v>
      </c>
      <c r="M57" s="8" t="n">
        <f aca="false">K57-L57</f>
        <v>-1.19999999999999</v>
      </c>
      <c r="N57" s="2" t="s">
        <v>19</v>
      </c>
      <c r="O57" s="2" t="s">
        <v>50</v>
      </c>
    </row>
    <row r="58" customFormat="false" ht="15" hidden="false" customHeight="false" outlineLevel="0" collapsed="false">
      <c r="A58" s="2" t="s">
        <v>110</v>
      </c>
      <c r="B58" s="3" t="n">
        <v>45679</v>
      </c>
      <c r="C58" s="2" t="s">
        <v>47</v>
      </c>
      <c r="D58" s="2" t="s">
        <v>48</v>
      </c>
      <c r="E58" s="2" t="s">
        <v>32</v>
      </c>
      <c r="F58" s="4" t="str">
        <f aca="false">INDEX(Products!$B$2:$B$9,MATCH(E58,Products!$A$2:$A$9,0))</f>
        <v>Analytics Plus</v>
      </c>
      <c r="G58" s="4" t="str">
        <f aca="false">INDEX(Products!$C$2:$C$9,MATCH(E58,Products!$A$2:$A$9,0))</f>
        <v>Software</v>
      </c>
      <c r="H58" s="5" t="n">
        <v>1</v>
      </c>
      <c r="I58" s="6" t="n">
        <f aca="false">INDEX(Products!$D$2:$D$9,MATCH(E58,Products!$A$2:$A$9,0))</f>
        <v>290</v>
      </c>
      <c r="J58" s="7" t="n">
        <v>0</v>
      </c>
      <c r="K58" s="8" t="n">
        <f aca="false">H58*I58*(1-J58)</f>
        <v>290</v>
      </c>
      <c r="L58" s="6" t="n">
        <f aca="false">H58*INDEX(Products!$E$2:$E$9,MATCH(E58,Products!$A$2:$A$9,0))</f>
        <v>41</v>
      </c>
      <c r="M58" s="8" t="n">
        <f aca="false">K58-L58</f>
        <v>249</v>
      </c>
      <c r="N58" s="2" t="s">
        <v>28</v>
      </c>
      <c r="O58" s="2" t="s">
        <v>72</v>
      </c>
    </row>
    <row r="59" customFormat="false" ht="15" hidden="false" customHeight="false" outlineLevel="0" collapsed="false">
      <c r="A59" s="2" t="s">
        <v>111</v>
      </c>
      <c r="B59" s="3" t="n">
        <v>45680</v>
      </c>
      <c r="C59" s="2" t="s">
        <v>41</v>
      </c>
      <c r="D59" s="2" t="s">
        <v>42</v>
      </c>
      <c r="E59" s="2" t="s">
        <v>49</v>
      </c>
      <c r="F59" s="4" t="str">
        <f aca="false">INDEX(Products!$B$2:$B$9,MATCH(E59,Products!$A$2:$A$9,0))</f>
        <v>Mounting Kit</v>
      </c>
      <c r="G59" s="4" t="str">
        <f aca="false">INDEX(Products!$C$2:$C$9,MATCH(E59,Products!$A$2:$A$9,0))</f>
        <v>Accessories</v>
      </c>
      <c r="H59" s="5" t="n">
        <v>12</v>
      </c>
      <c r="I59" s="6" t="n">
        <f aca="false">INDEX(Products!$D$2:$D$9,MATCH(E59,Products!$A$2:$A$9,0))</f>
        <v>39</v>
      </c>
      <c r="J59" s="7" t="n">
        <v>0.15</v>
      </c>
      <c r="K59" s="8" t="n">
        <f aca="false">H59*I59*(1-J59)</f>
        <v>397.8</v>
      </c>
      <c r="L59" s="6" t="n">
        <f aca="false">H59*INDEX(Products!$E$2:$E$9,MATCH(E59,Products!$A$2:$A$9,0))</f>
        <v>378</v>
      </c>
      <c r="M59" s="8" t="n">
        <f aca="false">K59-L59</f>
        <v>19.8</v>
      </c>
      <c r="N59" s="2" t="s">
        <v>19</v>
      </c>
      <c r="O59" s="2" t="s">
        <v>52</v>
      </c>
    </row>
    <row r="60" customFormat="false" ht="15" hidden="false" customHeight="false" outlineLevel="0" collapsed="false">
      <c r="A60" s="2" t="s">
        <v>112</v>
      </c>
      <c r="B60" s="3" t="n">
        <v>45681</v>
      </c>
      <c r="C60" s="2" t="s">
        <v>16</v>
      </c>
      <c r="D60" s="2" t="s">
        <v>25</v>
      </c>
      <c r="E60" s="2" t="s">
        <v>26</v>
      </c>
      <c r="F60" s="4" t="str">
        <f aca="false">INDEX(Products!$B$2:$B$9,MATCH(E60,Products!$A$2:$A$9,0))</f>
        <v>Analytics Basic</v>
      </c>
      <c r="G60" s="4" t="str">
        <f aca="false">INDEX(Products!$C$2:$C$9,MATCH(E60,Products!$A$2:$A$9,0))</f>
        <v>Software</v>
      </c>
      <c r="H60" s="5" t="n">
        <v>3</v>
      </c>
      <c r="I60" s="6" t="n">
        <f aca="false">INDEX(Products!$D$2:$D$9,MATCH(E60,Products!$A$2:$A$9,0))</f>
        <v>120</v>
      </c>
      <c r="J60" s="7" t="n">
        <v>0.1</v>
      </c>
      <c r="K60" s="8" t="n">
        <f aca="false">H60*I60*(1-J60)</f>
        <v>324</v>
      </c>
      <c r="L60" s="6" t="n">
        <f aca="false">H60*INDEX(Products!$E$2:$E$9,MATCH(E60,Products!$A$2:$A$9,0))</f>
        <v>54</v>
      </c>
      <c r="M60" s="8" t="n">
        <f aca="false">K60-L60</f>
        <v>270</v>
      </c>
      <c r="N60" s="2" t="s">
        <v>19</v>
      </c>
      <c r="O60" s="2" t="s">
        <v>20</v>
      </c>
    </row>
    <row r="61" customFormat="false" ht="15" hidden="false" customHeight="false" outlineLevel="0" collapsed="false">
      <c r="A61" s="2" t="s">
        <v>113</v>
      </c>
      <c r="B61" s="3" t="n">
        <v>45681</v>
      </c>
      <c r="C61" s="2" t="s">
        <v>47</v>
      </c>
      <c r="D61" s="2" t="s">
        <v>48</v>
      </c>
      <c r="E61" s="2" t="s">
        <v>18</v>
      </c>
      <c r="F61" s="4" t="str">
        <f aca="false">INDEX(Products!$B$2:$B$9,MATCH(E61,Products!$A$2:$A$9,0))</f>
        <v>Sensor Hub Pro</v>
      </c>
      <c r="G61" s="4" t="str">
        <f aca="false">INDEX(Products!$C$2:$C$9,MATCH(E61,Products!$A$2:$A$9,0))</f>
        <v>Hardware</v>
      </c>
      <c r="H61" s="5" t="n">
        <v>8</v>
      </c>
      <c r="I61" s="6" t="n">
        <f aca="false">INDEX(Products!$D$2:$D$9,MATCH(E61,Products!$A$2:$A$9,0))</f>
        <v>349</v>
      </c>
      <c r="J61" s="7" t="n">
        <v>0.25</v>
      </c>
      <c r="K61" s="8" t="n">
        <f aca="false">H61*I61*(1-J61)</f>
        <v>2094</v>
      </c>
      <c r="L61" s="6" t="n">
        <f aca="false">H61*INDEX(Products!$E$2:$E$9,MATCH(E61,Products!$A$2:$A$9,0))</f>
        <v>1608</v>
      </c>
      <c r="M61" s="8" t="n">
        <f aca="false">K61-L61</f>
        <v>486</v>
      </c>
      <c r="N61" s="2" t="s">
        <v>19</v>
      </c>
      <c r="O61" s="2" t="s">
        <v>72</v>
      </c>
    </row>
    <row r="62" customFormat="false" ht="15" hidden="false" customHeight="false" outlineLevel="0" collapsed="false">
      <c r="A62" s="2" t="s">
        <v>114</v>
      </c>
      <c r="B62" s="3" t="n">
        <v>45681</v>
      </c>
      <c r="C62" s="2" t="s">
        <v>16</v>
      </c>
      <c r="D62" s="2" t="s">
        <v>22</v>
      </c>
      <c r="E62" s="2" t="s">
        <v>32</v>
      </c>
      <c r="F62" s="4" t="str">
        <f aca="false">INDEX(Products!$B$2:$B$9,MATCH(E62,Products!$A$2:$A$9,0))</f>
        <v>Analytics Plus</v>
      </c>
      <c r="G62" s="4" t="str">
        <f aca="false">INDEX(Products!$C$2:$C$9,MATCH(E62,Products!$A$2:$A$9,0))</f>
        <v>Software</v>
      </c>
      <c r="H62" s="5" t="n">
        <v>3</v>
      </c>
      <c r="I62" s="6" t="n">
        <f aca="false">INDEX(Products!$D$2:$D$9,MATCH(E62,Products!$A$2:$A$9,0))</f>
        <v>290</v>
      </c>
      <c r="J62" s="7" t="n">
        <v>0.15</v>
      </c>
      <c r="K62" s="8" t="n">
        <f aca="false">H62*I62*(1-J62)</f>
        <v>739.5</v>
      </c>
      <c r="L62" s="6" t="n">
        <f aca="false">H62*INDEX(Products!$E$2:$E$9,MATCH(E62,Products!$A$2:$A$9,0))</f>
        <v>123</v>
      </c>
      <c r="M62" s="8" t="n">
        <f aca="false">K62-L62</f>
        <v>616.5</v>
      </c>
      <c r="N62" s="2" t="s">
        <v>28</v>
      </c>
      <c r="O62" s="2" t="s">
        <v>20</v>
      </c>
    </row>
    <row r="63" customFormat="false" ht="15" hidden="false" customHeight="false" outlineLevel="0" collapsed="false">
      <c r="A63" s="2" t="s">
        <v>115</v>
      </c>
      <c r="B63" s="3" t="n">
        <v>45681</v>
      </c>
      <c r="C63" s="2" t="s">
        <v>16</v>
      </c>
      <c r="D63" s="2" t="s">
        <v>17</v>
      </c>
      <c r="E63" s="2" t="s">
        <v>23</v>
      </c>
      <c r="F63" s="4" t="str">
        <f aca="false">INDEX(Products!$B$2:$B$9,MATCH(E63,Products!$A$2:$A$9,0))</f>
        <v>Sensor Hub S</v>
      </c>
      <c r="G63" s="4" t="str">
        <f aca="false">INDEX(Products!$C$2:$C$9,MATCH(E63,Products!$A$2:$A$9,0))</f>
        <v>Hardware</v>
      </c>
      <c r="H63" s="5" t="n">
        <v>1</v>
      </c>
      <c r="I63" s="6" t="n">
        <f aca="false">INDEX(Products!$D$2:$D$9,MATCH(E63,Products!$A$2:$A$9,0))</f>
        <v>189</v>
      </c>
      <c r="J63" s="7" t="n">
        <v>0.05</v>
      </c>
      <c r="K63" s="8" t="n">
        <f aca="false">H63*I63*(1-J63)</f>
        <v>179.55</v>
      </c>
      <c r="L63" s="6" t="n">
        <f aca="false">H63*INDEX(Products!$E$2:$E$9,MATCH(E63,Products!$A$2:$A$9,0))</f>
        <v>98</v>
      </c>
      <c r="M63" s="8" t="n">
        <f aca="false">K63-L63</f>
        <v>81.55</v>
      </c>
      <c r="N63" s="2" t="s">
        <v>28</v>
      </c>
      <c r="O63" s="2" t="s">
        <v>20</v>
      </c>
    </row>
    <row r="64" customFormat="false" ht="15" hidden="false" customHeight="false" outlineLevel="0" collapsed="false">
      <c r="A64" s="2" t="s">
        <v>116</v>
      </c>
      <c r="B64" s="3" t="n">
        <v>45682</v>
      </c>
      <c r="C64" s="2" t="s">
        <v>41</v>
      </c>
      <c r="D64" s="2" t="s">
        <v>42</v>
      </c>
      <c r="E64" s="2" t="s">
        <v>26</v>
      </c>
      <c r="F64" s="4" t="str">
        <f aca="false">INDEX(Products!$B$2:$B$9,MATCH(E64,Products!$A$2:$A$9,0))</f>
        <v>Analytics Basic</v>
      </c>
      <c r="G64" s="4" t="str">
        <f aca="false">INDEX(Products!$C$2:$C$9,MATCH(E64,Products!$A$2:$A$9,0))</f>
        <v>Software</v>
      </c>
      <c r="H64" s="5" t="n">
        <v>1</v>
      </c>
      <c r="I64" s="6" t="n">
        <f aca="false">INDEX(Products!$D$2:$D$9,MATCH(E64,Products!$A$2:$A$9,0))</f>
        <v>120</v>
      </c>
      <c r="J64" s="7" t="n">
        <v>0.1</v>
      </c>
      <c r="K64" s="8" t="n">
        <f aca="false">H64*I64*(1-J64)</f>
        <v>108</v>
      </c>
      <c r="L64" s="6" t="n">
        <f aca="false">H64*INDEX(Products!$E$2:$E$9,MATCH(E64,Products!$A$2:$A$9,0))</f>
        <v>18</v>
      </c>
      <c r="M64" s="8" t="n">
        <f aca="false">K64-L64</f>
        <v>90</v>
      </c>
      <c r="N64" s="2" t="s">
        <v>28</v>
      </c>
      <c r="O64" s="2" t="s">
        <v>43</v>
      </c>
    </row>
    <row r="65" customFormat="false" ht="15" hidden="false" customHeight="false" outlineLevel="0" collapsed="false">
      <c r="A65" s="2" t="s">
        <v>117</v>
      </c>
      <c r="B65" s="3" t="n">
        <v>45684</v>
      </c>
      <c r="C65" s="2" t="s">
        <v>41</v>
      </c>
      <c r="D65" s="2" t="s">
        <v>42</v>
      </c>
      <c r="E65" s="2" t="s">
        <v>26</v>
      </c>
      <c r="F65" s="4" t="str">
        <f aca="false">INDEX(Products!$B$2:$B$9,MATCH(E65,Products!$A$2:$A$9,0))</f>
        <v>Analytics Basic</v>
      </c>
      <c r="G65" s="4" t="str">
        <f aca="false">INDEX(Products!$C$2:$C$9,MATCH(E65,Products!$A$2:$A$9,0))</f>
        <v>Software</v>
      </c>
      <c r="H65" s="5" t="n">
        <v>3</v>
      </c>
      <c r="I65" s="6" t="n">
        <f aca="false">INDEX(Products!$D$2:$D$9,MATCH(E65,Products!$A$2:$A$9,0))</f>
        <v>120</v>
      </c>
      <c r="J65" s="7" t="n">
        <v>0.15</v>
      </c>
      <c r="K65" s="8" t="n">
        <f aca="false">H65*I65*(1-J65)</f>
        <v>306</v>
      </c>
      <c r="L65" s="6" t="n">
        <f aca="false">H65*INDEX(Products!$E$2:$E$9,MATCH(E65,Products!$A$2:$A$9,0))</f>
        <v>54</v>
      </c>
      <c r="M65" s="8" t="n">
        <f aca="false">K65-L65</f>
        <v>252</v>
      </c>
      <c r="N65" s="2" t="s">
        <v>28</v>
      </c>
      <c r="O65" s="2" t="s">
        <v>52</v>
      </c>
    </row>
    <row r="66" customFormat="false" ht="15" hidden="false" customHeight="false" outlineLevel="0" collapsed="false">
      <c r="A66" s="2" t="s">
        <v>118</v>
      </c>
      <c r="B66" s="3" t="n">
        <v>45684</v>
      </c>
      <c r="C66" s="2" t="s">
        <v>16</v>
      </c>
      <c r="D66" s="2" t="s">
        <v>35</v>
      </c>
      <c r="E66" s="2" t="s">
        <v>26</v>
      </c>
      <c r="F66" s="4" t="str">
        <f aca="false">INDEX(Products!$B$2:$B$9,MATCH(E66,Products!$A$2:$A$9,0))</f>
        <v>Analytics Basic</v>
      </c>
      <c r="G66" s="4" t="str">
        <f aca="false">INDEX(Products!$C$2:$C$9,MATCH(E66,Products!$A$2:$A$9,0))</f>
        <v>Software</v>
      </c>
      <c r="H66" s="5" t="n">
        <v>3</v>
      </c>
      <c r="I66" s="6" t="n">
        <f aca="false">INDEX(Products!$D$2:$D$9,MATCH(E66,Products!$A$2:$A$9,0))</f>
        <v>120</v>
      </c>
      <c r="J66" s="7" t="n">
        <v>0.05</v>
      </c>
      <c r="K66" s="8" t="n">
        <f aca="false">H66*I66*(1-J66)</f>
        <v>342</v>
      </c>
      <c r="L66" s="6" t="n">
        <f aca="false">H66*INDEX(Products!$E$2:$E$9,MATCH(E66,Products!$A$2:$A$9,0))</f>
        <v>54</v>
      </c>
      <c r="M66" s="8" t="n">
        <f aca="false">K66-L66</f>
        <v>288</v>
      </c>
      <c r="N66" s="2" t="s">
        <v>38</v>
      </c>
      <c r="O66" s="2" t="s">
        <v>20</v>
      </c>
    </row>
    <row r="67" customFormat="false" ht="15" hidden="false" customHeight="false" outlineLevel="0" collapsed="false">
      <c r="A67" s="2" t="s">
        <v>119</v>
      </c>
      <c r="B67" s="3" t="n">
        <v>45684</v>
      </c>
      <c r="C67" s="2" t="s">
        <v>41</v>
      </c>
      <c r="D67" s="2" t="s">
        <v>66</v>
      </c>
      <c r="E67" s="2" t="s">
        <v>61</v>
      </c>
      <c r="F67" s="4" t="str">
        <f aca="false">INDEX(Products!$B$2:$B$9,MATCH(E67,Products!$A$2:$A$9,0))</f>
        <v>Install Service</v>
      </c>
      <c r="G67" s="4" t="str">
        <f aca="false">INDEX(Products!$C$2:$C$9,MATCH(E67,Products!$A$2:$A$9,0))</f>
        <v>Services</v>
      </c>
      <c r="H67" s="5" t="n">
        <v>3</v>
      </c>
      <c r="I67" s="6" t="n">
        <f aca="false">INDEX(Products!$D$2:$D$9,MATCH(E67,Products!$A$2:$A$9,0))</f>
        <v>450</v>
      </c>
      <c r="J67" s="7" t="n">
        <v>0.05</v>
      </c>
      <c r="K67" s="8" t="n">
        <f aca="false">H67*I67*(1-J67)</f>
        <v>1282.5</v>
      </c>
      <c r="L67" s="6" t="n">
        <f aca="false">H67*INDEX(Products!$E$2:$E$9,MATCH(E67,Products!$A$2:$A$9,0))</f>
        <v>930</v>
      </c>
      <c r="M67" s="8" t="n">
        <f aca="false">K67-L67</f>
        <v>352.5</v>
      </c>
      <c r="N67" s="2" t="s">
        <v>28</v>
      </c>
      <c r="O67" s="2" t="s">
        <v>43</v>
      </c>
    </row>
    <row r="68" customFormat="false" ht="15" hidden="false" customHeight="false" outlineLevel="0" collapsed="false">
      <c r="A68" s="2" t="s">
        <v>120</v>
      </c>
      <c r="B68" s="3" t="n">
        <v>45685</v>
      </c>
      <c r="C68" s="2" t="s">
        <v>41</v>
      </c>
      <c r="D68" s="2" t="s">
        <v>66</v>
      </c>
      <c r="E68" s="2" t="s">
        <v>26</v>
      </c>
      <c r="F68" s="4" t="str">
        <f aca="false">INDEX(Products!$B$2:$B$9,MATCH(E68,Products!$A$2:$A$9,0))</f>
        <v>Analytics Basic</v>
      </c>
      <c r="G68" s="4" t="str">
        <f aca="false">INDEX(Products!$C$2:$C$9,MATCH(E68,Products!$A$2:$A$9,0))</f>
        <v>Software</v>
      </c>
      <c r="H68" s="5" t="n">
        <v>1</v>
      </c>
      <c r="I68" s="6" t="n">
        <f aca="false">INDEX(Products!$D$2:$D$9,MATCH(E68,Products!$A$2:$A$9,0))</f>
        <v>120</v>
      </c>
      <c r="J68" s="7" t="n">
        <v>0.25</v>
      </c>
      <c r="K68" s="8" t="n">
        <f aca="false">H68*I68*(1-J68)</f>
        <v>90</v>
      </c>
      <c r="L68" s="6" t="n">
        <f aca="false">H68*INDEX(Products!$E$2:$E$9,MATCH(E68,Products!$A$2:$A$9,0))</f>
        <v>18</v>
      </c>
      <c r="M68" s="8" t="n">
        <f aca="false">K68-L68</f>
        <v>72</v>
      </c>
      <c r="N68" s="2" t="s">
        <v>19</v>
      </c>
      <c r="O68" s="2" t="s">
        <v>52</v>
      </c>
    </row>
    <row r="69" customFormat="false" ht="15" hidden="false" customHeight="false" outlineLevel="0" collapsed="false">
      <c r="A69" s="2" t="s">
        <v>121</v>
      </c>
      <c r="B69" s="3" t="n">
        <v>45685</v>
      </c>
      <c r="C69" s="2" t="s">
        <v>41</v>
      </c>
      <c r="D69" s="2" t="s">
        <v>66</v>
      </c>
      <c r="E69" s="2" t="s">
        <v>18</v>
      </c>
      <c r="F69" s="4" t="str">
        <f aca="false">INDEX(Products!$B$2:$B$9,MATCH(E69,Products!$A$2:$A$9,0))</f>
        <v>Sensor Hub Pro</v>
      </c>
      <c r="G69" s="4" t="str">
        <f aca="false">INDEX(Products!$C$2:$C$9,MATCH(E69,Products!$A$2:$A$9,0))</f>
        <v>Hardware</v>
      </c>
      <c r="H69" s="5" t="n">
        <v>1</v>
      </c>
      <c r="I69" s="6" t="n">
        <f aca="false">INDEX(Products!$D$2:$D$9,MATCH(E69,Products!$A$2:$A$9,0))</f>
        <v>349</v>
      </c>
      <c r="J69" s="7" t="n">
        <v>0.1</v>
      </c>
      <c r="K69" s="8" t="n">
        <f aca="false">H69*I69*(1-J69)</f>
        <v>314.1</v>
      </c>
      <c r="L69" s="6" t="n">
        <f aca="false">H69*INDEX(Products!$E$2:$E$9,MATCH(E69,Products!$A$2:$A$9,0))</f>
        <v>201</v>
      </c>
      <c r="M69" s="8" t="n">
        <f aca="false">K69-L69</f>
        <v>113.1</v>
      </c>
      <c r="N69" s="2" t="s">
        <v>19</v>
      </c>
      <c r="O69" s="2" t="s">
        <v>52</v>
      </c>
    </row>
    <row r="70" customFormat="false" ht="15" hidden="false" customHeight="false" outlineLevel="0" collapsed="false">
      <c r="A70" s="2" t="s">
        <v>122</v>
      </c>
      <c r="B70" s="3" t="n">
        <v>45685</v>
      </c>
      <c r="C70" s="2" t="s">
        <v>47</v>
      </c>
      <c r="D70" s="2" t="s">
        <v>48</v>
      </c>
      <c r="E70" s="2" t="s">
        <v>26</v>
      </c>
      <c r="F70" s="4" t="str">
        <f aca="false">INDEX(Products!$B$2:$B$9,MATCH(E70,Products!$A$2:$A$9,0))</f>
        <v>Analytics Basic</v>
      </c>
      <c r="G70" s="4" t="str">
        <f aca="false">INDEX(Products!$C$2:$C$9,MATCH(E70,Products!$A$2:$A$9,0))</f>
        <v>Software</v>
      </c>
      <c r="H70" s="5" t="n">
        <v>1</v>
      </c>
      <c r="I70" s="6" t="n">
        <f aca="false">INDEX(Products!$D$2:$D$9,MATCH(E70,Products!$A$2:$A$9,0))</f>
        <v>120</v>
      </c>
      <c r="J70" s="7" t="n">
        <v>0.05</v>
      </c>
      <c r="K70" s="8" t="n">
        <f aca="false">H70*I70*(1-J70)</f>
        <v>114</v>
      </c>
      <c r="L70" s="6" t="n">
        <f aca="false">H70*INDEX(Products!$E$2:$E$9,MATCH(E70,Products!$A$2:$A$9,0))</f>
        <v>18</v>
      </c>
      <c r="M70" s="8" t="n">
        <f aca="false">K70-L70</f>
        <v>96</v>
      </c>
      <c r="N70" s="2" t="s">
        <v>28</v>
      </c>
      <c r="O70" s="2" t="s">
        <v>72</v>
      </c>
    </row>
    <row r="71" customFormat="false" ht="15" hidden="false" customHeight="false" outlineLevel="0" collapsed="false">
      <c r="A71" s="2" t="s">
        <v>123</v>
      </c>
      <c r="B71" s="3" t="n">
        <v>45685</v>
      </c>
      <c r="C71" s="2" t="s">
        <v>16</v>
      </c>
      <c r="D71" s="2" t="s">
        <v>22</v>
      </c>
      <c r="E71" s="2" t="s">
        <v>57</v>
      </c>
      <c r="F71" s="4" t="str">
        <f aca="false">INDEX(Products!$B$2:$B$9,MATCH(E71,Products!$A$2:$A$9,0))</f>
        <v>Edge Gateway</v>
      </c>
      <c r="G71" s="4" t="str">
        <f aca="false">INDEX(Products!$C$2:$C$9,MATCH(E71,Products!$A$2:$A$9,0))</f>
        <v>Hardware</v>
      </c>
      <c r="H71" s="5" t="n">
        <v>10</v>
      </c>
      <c r="I71" s="6" t="n">
        <f aca="false">INDEX(Products!$D$2:$D$9,MATCH(E71,Products!$A$2:$A$9,0))</f>
        <v>899</v>
      </c>
      <c r="J71" s="7" t="n">
        <v>0</v>
      </c>
      <c r="K71" s="8" t="n">
        <f aca="false">H71*I71*(1-J71)</f>
        <v>8990</v>
      </c>
      <c r="L71" s="6" t="n">
        <f aca="false">H71*INDEX(Products!$E$2:$E$9,MATCH(E71,Products!$A$2:$A$9,0))</f>
        <v>6120</v>
      </c>
      <c r="M71" s="8" t="n">
        <f aca="false">K71-L71</f>
        <v>2870</v>
      </c>
      <c r="N71" s="2" t="s">
        <v>28</v>
      </c>
      <c r="O71" s="2" t="s">
        <v>20</v>
      </c>
    </row>
    <row r="72" customFormat="false" ht="15" hidden="false" customHeight="false" outlineLevel="0" collapsed="false">
      <c r="A72" s="2" t="s">
        <v>124</v>
      </c>
      <c r="B72" s="3" t="n">
        <v>45685</v>
      </c>
      <c r="C72" s="2" t="s">
        <v>47</v>
      </c>
      <c r="D72" s="2" t="s">
        <v>71</v>
      </c>
      <c r="E72" s="2" t="s">
        <v>61</v>
      </c>
      <c r="F72" s="4" t="str">
        <f aca="false">INDEX(Products!$B$2:$B$9,MATCH(E72,Products!$A$2:$A$9,0))</f>
        <v>Install Service</v>
      </c>
      <c r="G72" s="4" t="str">
        <f aca="false">INDEX(Products!$C$2:$C$9,MATCH(E72,Products!$A$2:$A$9,0))</f>
        <v>Services</v>
      </c>
      <c r="H72" s="5" t="n">
        <v>5</v>
      </c>
      <c r="I72" s="6" t="n">
        <f aca="false">INDEX(Products!$D$2:$D$9,MATCH(E72,Products!$A$2:$A$9,0))</f>
        <v>450</v>
      </c>
      <c r="J72" s="7" t="n">
        <v>0.15</v>
      </c>
      <c r="K72" s="8" t="n">
        <f aca="false">H72*I72*(1-J72)</f>
        <v>1912.5</v>
      </c>
      <c r="L72" s="6" t="n">
        <f aca="false">H72*INDEX(Products!$E$2:$E$9,MATCH(E72,Products!$A$2:$A$9,0))</f>
        <v>1550</v>
      </c>
      <c r="M72" s="8" t="n">
        <f aca="false">K72-L72</f>
        <v>362.5</v>
      </c>
      <c r="N72" s="2" t="s">
        <v>28</v>
      </c>
      <c r="O72" s="2" t="s">
        <v>50</v>
      </c>
    </row>
    <row r="73" customFormat="false" ht="15" hidden="false" customHeight="false" outlineLevel="0" collapsed="false">
      <c r="A73" s="2" t="s">
        <v>125</v>
      </c>
      <c r="B73" s="3" t="n">
        <v>45686</v>
      </c>
      <c r="C73" s="2" t="s">
        <v>41</v>
      </c>
      <c r="D73" s="2" t="s">
        <v>42</v>
      </c>
      <c r="E73" s="2" t="s">
        <v>68</v>
      </c>
      <c r="F73" s="4" t="str">
        <f aca="false">INDEX(Products!$B$2:$B$9,MATCH(E73,Products!$A$2:$A$9,0))</f>
        <v>Premium Support</v>
      </c>
      <c r="G73" s="4" t="str">
        <f aca="false">INDEX(Products!$C$2:$C$9,MATCH(E73,Products!$A$2:$A$9,0))</f>
        <v>Services</v>
      </c>
      <c r="H73" s="5" t="n">
        <v>2</v>
      </c>
      <c r="I73" s="6" t="n">
        <f aca="false">INDEX(Products!$D$2:$D$9,MATCH(E73,Products!$A$2:$A$9,0))</f>
        <v>600</v>
      </c>
      <c r="J73" s="7" t="n">
        <v>0.2</v>
      </c>
      <c r="K73" s="8" t="n">
        <f aca="false">H73*I73*(1-J73)</f>
        <v>960</v>
      </c>
      <c r="L73" s="6" t="n">
        <f aca="false">H73*INDEX(Products!$E$2:$E$9,MATCH(E73,Products!$A$2:$A$9,0))</f>
        <v>790</v>
      </c>
      <c r="M73" s="8" t="n">
        <f aca="false">K73-L73</f>
        <v>170</v>
      </c>
      <c r="N73" s="2" t="s">
        <v>19</v>
      </c>
      <c r="O73" s="2" t="s">
        <v>52</v>
      </c>
    </row>
    <row r="74" customFormat="false" ht="15" hidden="false" customHeight="false" outlineLevel="0" collapsed="false">
      <c r="A74" s="2" t="s">
        <v>126</v>
      </c>
      <c r="B74" s="3" t="n">
        <v>45686</v>
      </c>
      <c r="C74" s="2" t="s">
        <v>16</v>
      </c>
      <c r="D74" s="2" t="s">
        <v>25</v>
      </c>
      <c r="E74" s="2" t="s">
        <v>26</v>
      </c>
      <c r="F74" s="4" t="str">
        <f aca="false">INDEX(Products!$B$2:$B$9,MATCH(E74,Products!$A$2:$A$9,0))</f>
        <v>Analytics Basic</v>
      </c>
      <c r="G74" s="4" t="str">
        <f aca="false">INDEX(Products!$C$2:$C$9,MATCH(E74,Products!$A$2:$A$9,0))</f>
        <v>Software</v>
      </c>
      <c r="H74" s="5" t="n">
        <v>1</v>
      </c>
      <c r="I74" s="6" t="n">
        <f aca="false">INDEX(Products!$D$2:$D$9,MATCH(E74,Products!$A$2:$A$9,0))</f>
        <v>120</v>
      </c>
      <c r="J74" s="7" t="n">
        <v>0.1</v>
      </c>
      <c r="K74" s="8" t="n">
        <f aca="false">H74*I74*(1-J74)</f>
        <v>108</v>
      </c>
      <c r="L74" s="6" t="n">
        <f aca="false">H74*INDEX(Products!$E$2:$E$9,MATCH(E74,Products!$A$2:$A$9,0))</f>
        <v>18</v>
      </c>
      <c r="M74" s="8" t="n">
        <f aca="false">K74-L74</f>
        <v>90</v>
      </c>
      <c r="N74" s="2" t="s">
        <v>28</v>
      </c>
      <c r="O74" s="2" t="s">
        <v>36</v>
      </c>
    </row>
    <row r="75" customFormat="false" ht="15" hidden="false" customHeight="false" outlineLevel="0" collapsed="false">
      <c r="A75" s="2" t="s">
        <v>127</v>
      </c>
      <c r="B75" s="3" t="n">
        <v>45686</v>
      </c>
      <c r="C75" s="2" t="s">
        <v>30</v>
      </c>
      <c r="D75" s="2" t="s">
        <v>128</v>
      </c>
      <c r="E75" s="2" t="s">
        <v>49</v>
      </c>
      <c r="F75" s="4" t="str">
        <f aca="false">INDEX(Products!$B$2:$B$9,MATCH(E75,Products!$A$2:$A$9,0))</f>
        <v>Mounting Kit</v>
      </c>
      <c r="G75" s="4" t="str">
        <f aca="false">INDEX(Products!$C$2:$C$9,MATCH(E75,Products!$A$2:$A$9,0))</f>
        <v>Accessories</v>
      </c>
      <c r="H75" s="5" t="n">
        <v>12</v>
      </c>
      <c r="I75" s="6" t="n">
        <f aca="false">INDEX(Products!$D$2:$D$9,MATCH(E75,Products!$A$2:$A$9,0))</f>
        <v>39</v>
      </c>
      <c r="J75" s="7" t="n">
        <v>0.15</v>
      </c>
      <c r="K75" s="8" t="n">
        <f aca="false">H75*I75*(1-J75)</f>
        <v>397.8</v>
      </c>
      <c r="L75" s="6" t="n">
        <f aca="false">H75*INDEX(Products!$E$2:$E$9,MATCH(E75,Products!$A$2:$A$9,0))</f>
        <v>378</v>
      </c>
      <c r="M75" s="8" t="n">
        <f aca="false">K75-L75</f>
        <v>19.8</v>
      </c>
      <c r="N75" s="2" t="s">
        <v>19</v>
      </c>
      <c r="O75" s="2" t="s">
        <v>64</v>
      </c>
    </row>
    <row r="76" customFormat="false" ht="15" hidden="false" customHeight="false" outlineLevel="0" collapsed="false">
      <c r="A76" s="2" t="s">
        <v>129</v>
      </c>
      <c r="B76" s="3" t="n">
        <v>45686</v>
      </c>
      <c r="C76" s="2" t="s">
        <v>16</v>
      </c>
      <c r="D76" s="2" t="s">
        <v>25</v>
      </c>
      <c r="E76" s="2" t="s">
        <v>26</v>
      </c>
      <c r="F76" s="4" t="str">
        <f aca="false">INDEX(Products!$B$2:$B$9,MATCH(E76,Products!$A$2:$A$9,0))</f>
        <v>Analytics Basic</v>
      </c>
      <c r="G76" s="4" t="str">
        <f aca="false">INDEX(Products!$C$2:$C$9,MATCH(E76,Products!$A$2:$A$9,0))</f>
        <v>Software</v>
      </c>
      <c r="H76" s="5" t="n">
        <v>2</v>
      </c>
      <c r="I76" s="6" t="n">
        <f aca="false">INDEX(Products!$D$2:$D$9,MATCH(E76,Products!$A$2:$A$9,0))</f>
        <v>120</v>
      </c>
      <c r="J76" s="7" t="n">
        <v>0</v>
      </c>
      <c r="K76" s="8" t="n">
        <f aca="false">H76*I76*(1-J76)</f>
        <v>240</v>
      </c>
      <c r="L76" s="6" t="n">
        <f aca="false">H76*INDEX(Products!$E$2:$E$9,MATCH(E76,Products!$A$2:$A$9,0))</f>
        <v>36</v>
      </c>
      <c r="M76" s="8" t="n">
        <f aca="false">K76-L76</f>
        <v>204</v>
      </c>
      <c r="N76" s="2" t="s">
        <v>28</v>
      </c>
      <c r="O76" s="2" t="s">
        <v>20</v>
      </c>
    </row>
    <row r="77" customFormat="false" ht="15" hidden="false" customHeight="false" outlineLevel="0" collapsed="false">
      <c r="A77" s="2" t="s">
        <v>130</v>
      </c>
      <c r="B77" s="3" t="n">
        <v>45687</v>
      </c>
      <c r="C77" s="2" t="s">
        <v>16</v>
      </c>
      <c r="D77" s="2" t="s">
        <v>25</v>
      </c>
      <c r="E77" s="2" t="s">
        <v>18</v>
      </c>
      <c r="F77" s="4" t="str">
        <f aca="false">INDEX(Products!$B$2:$B$9,MATCH(E77,Products!$A$2:$A$9,0))</f>
        <v>Sensor Hub Pro</v>
      </c>
      <c r="G77" s="4" t="str">
        <f aca="false">INDEX(Products!$C$2:$C$9,MATCH(E77,Products!$A$2:$A$9,0))</f>
        <v>Hardware</v>
      </c>
      <c r="H77" s="5" t="n">
        <v>5</v>
      </c>
      <c r="I77" s="6" t="n">
        <f aca="false">INDEX(Products!$D$2:$D$9,MATCH(E77,Products!$A$2:$A$9,0))</f>
        <v>349</v>
      </c>
      <c r="J77" s="7" t="n">
        <v>0.15</v>
      </c>
      <c r="K77" s="8" t="n">
        <f aca="false">H77*I77*(1-J77)</f>
        <v>1483.25</v>
      </c>
      <c r="L77" s="6" t="n">
        <f aca="false">H77*INDEX(Products!$E$2:$E$9,MATCH(E77,Products!$A$2:$A$9,0))</f>
        <v>1005</v>
      </c>
      <c r="M77" s="8" t="n">
        <f aca="false">K77-L77</f>
        <v>478.25</v>
      </c>
      <c r="N77" s="2" t="s">
        <v>28</v>
      </c>
      <c r="O77" s="2" t="s">
        <v>20</v>
      </c>
    </row>
    <row r="78" customFormat="false" ht="15" hidden="false" customHeight="false" outlineLevel="0" collapsed="false">
      <c r="A78" s="2" t="s">
        <v>131</v>
      </c>
      <c r="B78" s="3" t="n">
        <v>45687</v>
      </c>
      <c r="C78" s="2" t="s">
        <v>30</v>
      </c>
      <c r="D78" s="2" t="s">
        <v>31</v>
      </c>
      <c r="E78" s="2" t="s">
        <v>26</v>
      </c>
      <c r="F78" s="4" t="str">
        <f aca="false">INDEX(Products!$B$2:$B$9,MATCH(E78,Products!$A$2:$A$9,0))</f>
        <v>Analytics Basic</v>
      </c>
      <c r="G78" s="4" t="str">
        <f aca="false">INDEX(Products!$C$2:$C$9,MATCH(E78,Products!$A$2:$A$9,0))</f>
        <v>Software</v>
      </c>
      <c r="H78" s="5" t="n">
        <v>5</v>
      </c>
      <c r="I78" s="6" t="n">
        <f aca="false">INDEX(Products!$D$2:$D$9,MATCH(E78,Products!$A$2:$A$9,0))</f>
        <v>120</v>
      </c>
      <c r="J78" s="7" t="n">
        <v>0.1</v>
      </c>
      <c r="K78" s="8" t="n">
        <f aca="false">H78*I78*(1-J78)</f>
        <v>540</v>
      </c>
      <c r="L78" s="6" t="n">
        <f aca="false">H78*INDEX(Products!$E$2:$E$9,MATCH(E78,Products!$A$2:$A$9,0))</f>
        <v>90</v>
      </c>
      <c r="M78" s="8" t="n">
        <f aca="false">K78-L78</f>
        <v>450</v>
      </c>
      <c r="N78" s="2" t="s">
        <v>19</v>
      </c>
      <c r="O78" s="2" t="s">
        <v>64</v>
      </c>
    </row>
    <row r="79" customFormat="false" ht="15" hidden="false" customHeight="false" outlineLevel="0" collapsed="false">
      <c r="A79" s="2" t="s">
        <v>132</v>
      </c>
      <c r="B79" s="3" t="n">
        <v>45687</v>
      </c>
      <c r="C79" s="2" t="s">
        <v>30</v>
      </c>
      <c r="D79" s="2" t="s">
        <v>31</v>
      </c>
      <c r="E79" s="2" t="s">
        <v>32</v>
      </c>
      <c r="F79" s="4" t="str">
        <f aca="false">INDEX(Products!$B$2:$B$9,MATCH(E79,Products!$A$2:$A$9,0))</f>
        <v>Analytics Plus</v>
      </c>
      <c r="G79" s="4" t="str">
        <f aca="false">INDEX(Products!$C$2:$C$9,MATCH(E79,Products!$A$2:$A$9,0))</f>
        <v>Software</v>
      </c>
      <c r="H79" s="5" t="n">
        <v>1</v>
      </c>
      <c r="I79" s="6" t="n">
        <f aca="false">INDEX(Products!$D$2:$D$9,MATCH(E79,Products!$A$2:$A$9,0))</f>
        <v>290</v>
      </c>
      <c r="J79" s="7" t="n">
        <v>0</v>
      </c>
      <c r="K79" s="8" t="n">
        <f aca="false">H79*I79*(1-J79)</f>
        <v>290</v>
      </c>
      <c r="L79" s="6" t="n">
        <f aca="false">H79*INDEX(Products!$E$2:$E$9,MATCH(E79,Products!$A$2:$A$9,0))</f>
        <v>41</v>
      </c>
      <c r="M79" s="8" t="n">
        <f aca="false">K79-L79</f>
        <v>249</v>
      </c>
      <c r="N79" s="2" t="s">
        <v>38</v>
      </c>
      <c r="O79" s="2" t="s">
        <v>64</v>
      </c>
    </row>
    <row r="80" customFormat="false" ht="15" hidden="false" customHeight="false" outlineLevel="0" collapsed="false">
      <c r="A80" s="2" t="s">
        <v>133</v>
      </c>
      <c r="B80" s="3" t="n">
        <v>45688</v>
      </c>
      <c r="C80" s="2" t="s">
        <v>16</v>
      </c>
      <c r="D80" s="2" t="s">
        <v>35</v>
      </c>
      <c r="E80" s="2" t="s">
        <v>49</v>
      </c>
      <c r="F80" s="4" t="str">
        <f aca="false">INDEX(Products!$B$2:$B$9,MATCH(E80,Products!$A$2:$A$9,0))</f>
        <v>Mounting Kit</v>
      </c>
      <c r="G80" s="4" t="str">
        <f aca="false">INDEX(Products!$C$2:$C$9,MATCH(E80,Products!$A$2:$A$9,0))</f>
        <v>Accessories</v>
      </c>
      <c r="H80" s="5" t="n">
        <v>8</v>
      </c>
      <c r="I80" s="6" t="n">
        <f aca="false">INDEX(Products!$D$2:$D$9,MATCH(E80,Products!$A$2:$A$9,0))</f>
        <v>39</v>
      </c>
      <c r="J80" s="7" t="n">
        <v>0.25</v>
      </c>
      <c r="K80" s="8" t="n">
        <f aca="false">H80*I80*(1-J80)</f>
        <v>234</v>
      </c>
      <c r="L80" s="6" t="n">
        <f aca="false">H80*INDEX(Products!$E$2:$E$9,MATCH(E80,Products!$A$2:$A$9,0))</f>
        <v>252</v>
      </c>
      <c r="M80" s="8" t="n">
        <f aca="false">K80-L80</f>
        <v>-18</v>
      </c>
      <c r="N80" s="2" t="s">
        <v>19</v>
      </c>
      <c r="O80" s="2" t="s">
        <v>36</v>
      </c>
    </row>
    <row r="81" customFormat="false" ht="15" hidden="false" customHeight="false" outlineLevel="0" collapsed="false">
      <c r="A81" s="2" t="s">
        <v>134</v>
      </c>
      <c r="B81" s="3" t="n">
        <v>45688</v>
      </c>
      <c r="C81" s="2" t="s">
        <v>41</v>
      </c>
      <c r="D81" s="2" t="s">
        <v>66</v>
      </c>
      <c r="E81" s="2" t="s">
        <v>49</v>
      </c>
      <c r="F81" s="4" t="str">
        <f aca="false">INDEX(Products!$B$2:$B$9,MATCH(E81,Products!$A$2:$A$9,0))</f>
        <v>Mounting Kit</v>
      </c>
      <c r="G81" s="4" t="str">
        <f aca="false">INDEX(Products!$C$2:$C$9,MATCH(E81,Products!$A$2:$A$9,0))</f>
        <v>Accessories</v>
      </c>
      <c r="H81" s="5" t="n">
        <v>1</v>
      </c>
      <c r="I81" s="6" t="n">
        <f aca="false">INDEX(Products!$D$2:$D$9,MATCH(E81,Products!$A$2:$A$9,0))</f>
        <v>39</v>
      </c>
      <c r="J81" s="7" t="n">
        <v>0.1</v>
      </c>
      <c r="K81" s="8" t="n">
        <f aca="false">H81*I81*(1-J81)</f>
        <v>35.1</v>
      </c>
      <c r="L81" s="6" t="n">
        <f aca="false">H81*INDEX(Products!$E$2:$E$9,MATCH(E81,Products!$A$2:$A$9,0))</f>
        <v>31.5</v>
      </c>
      <c r="M81" s="8" t="n">
        <f aca="false">K81-L81</f>
        <v>3.6</v>
      </c>
      <c r="N81" s="2" t="s">
        <v>19</v>
      </c>
      <c r="O81" s="2" t="s">
        <v>43</v>
      </c>
    </row>
    <row r="82" customFormat="false" ht="15" hidden="false" customHeight="false" outlineLevel="0" collapsed="false">
      <c r="A82" s="2" t="s">
        <v>135</v>
      </c>
      <c r="B82" s="3" t="n">
        <v>45688</v>
      </c>
      <c r="C82" s="2" t="s">
        <v>41</v>
      </c>
      <c r="D82" s="2" t="s">
        <v>66</v>
      </c>
      <c r="E82" s="2" t="s">
        <v>49</v>
      </c>
      <c r="F82" s="4" t="str">
        <f aca="false">INDEX(Products!$B$2:$B$9,MATCH(E82,Products!$A$2:$A$9,0))</f>
        <v>Mounting Kit</v>
      </c>
      <c r="G82" s="4" t="str">
        <f aca="false">INDEX(Products!$C$2:$C$9,MATCH(E82,Products!$A$2:$A$9,0))</f>
        <v>Accessories</v>
      </c>
      <c r="H82" s="5" t="n">
        <v>12</v>
      </c>
      <c r="I82" s="6" t="n">
        <f aca="false">INDEX(Products!$D$2:$D$9,MATCH(E82,Products!$A$2:$A$9,0))</f>
        <v>39</v>
      </c>
      <c r="J82" s="7" t="n">
        <v>0.15</v>
      </c>
      <c r="K82" s="8" t="n">
        <f aca="false">H82*I82*(1-J82)</f>
        <v>397.8</v>
      </c>
      <c r="L82" s="6" t="n">
        <f aca="false">H82*INDEX(Products!$E$2:$E$9,MATCH(E82,Products!$A$2:$A$9,0))</f>
        <v>378</v>
      </c>
      <c r="M82" s="8" t="n">
        <f aca="false">K82-L82</f>
        <v>19.8</v>
      </c>
      <c r="N82" s="2" t="s">
        <v>19</v>
      </c>
      <c r="O82" s="2" t="s">
        <v>43</v>
      </c>
    </row>
    <row r="83" customFormat="false" ht="15" hidden="false" customHeight="false" outlineLevel="0" collapsed="false">
      <c r="A83" s="2" t="s">
        <v>136</v>
      </c>
      <c r="B83" s="3" t="n">
        <v>45689</v>
      </c>
      <c r="C83" s="2" t="s">
        <v>41</v>
      </c>
      <c r="D83" s="2" t="s">
        <v>42</v>
      </c>
      <c r="E83" s="2" t="s">
        <v>32</v>
      </c>
      <c r="F83" s="4" t="str">
        <f aca="false">INDEX(Products!$B$2:$B$9,MATCH(E83,Products!$A$2:$A$9,0))</f>
        <v>Analytics Plus</v>
      </c>
      <c r="G83" s="4" t="str">
        <f aca="false">INDEX(Products!$C$2:$C$9,MATCH(E83,Products!$A$2:$A$9,0))</f>
        <v>Software</v>
      </c>
      <c r="H83" s="5" t="n">
        <v>1</v>
      </c>
      <c r="I83" s="6" t="n">
        <f aca="false">INDEX(Products!$D$2:$D$9,MATCH(E83,Products!$A$2:$A$9,0))</f>
        <v>290</v>
      </c>
      <c r="J83" s="7" t="n">
        <v>0.1</v>
      </c>
      <c r="K83" s="8" t="n">
        <f aca="false">H83*I83*(1-J83)</f>
        <v>261</v>
      </c>
      <c r="L83" s="6" t="n">
        <f aca="false">H83*INDEX(Products!$E$2:$E$9,MATCH(E83,Products!$A$2:$A$9,0))</f>
        <v>41</v>
      </c>
      <c r="M83" s="8" t="n">
        <f aca="false">K83-L83</f>
        <v>220</v>
      </c>
      <c r="N83" s="2" t="s">
        <v>19</v>
      </c>
      <c r="O83" s="2" t="s">
        <v>43</v>
      </c>
    </row>
    <row r="84" customFormat="false" ht="15" hidden="false" customHeight="false" outlineLevel="0" collapsed="false">
      <c r="A84" s="2" t="s">
        <v>137</v>
      </c>
      <c r="B84" s="3" t="n">
        <v>45691</v>
      </c>
      <c r="C84" s="2" t="s">
        <v>47</v>
      </c>
      <c r="D84" s="2" t="s">
        <v>71</v>
      </c>
      <c r="E84" s="2" t="s">
        <v>57</v>
      </c>
      <c r="F84" s="4" t="str">
        <f aca="false">INDEX(Products!$B$2:$B$9,MATCH(E84,Products!$A$2:$A$9,0))</f>
        <v>Edge Gateway</v>
      </c>
      <c r="G84" s="4" t="str">
        <f aca="false">INDEX(Products!$C$2:$C$9,MATCH(E84,Products!$A$2:$A$9,0))</f>
        <v>Hardware</v>
      </c>
      <c r="H84" s="5" t="n">
        <v>5</v>
      </c>
      <c r="I84" s="6" t="n">
        <f aca="false">INDEX(Products!$D$2:$D$9,MATCH(E84,Products!$A$2:$A$9,0))</f>
        <v>899</v>
      </c>
      <c r="J84" s="7" t="n">
        <v>0.1</v>
      </c>
      <c r="K84" s="8" t="n">
        <f aca="false">H84*I84*(1-J84)</f>
        <v>4045.5</v>
      </c>
      <c r="L84" s="6" t="n">
        <f aca="false">H84*INDEX(Products!$E$2:$E$9,MATCH(E84,Products!$A$2:$A$9,0))</f>
        <v>3060</v>
      </c>
      <c r="M84" s="8" t="n">
        <f aca="false">K84-L84</f>
        <v>985.5</v>
      </c>
      <c r="N84" s="2" t="s">
        <v>19</v>
      </c>
      <c r="O84" s="2" t="s">
        <v>50</v>
      </c>
    </row>
    <row r="85" customFormat="false" ht="15" hidden="false" customHeight="false" outlineLevel="0" collapsed="false">
      <c r="A85" s="2" t="s">
        <v>138</v>
      </c>
      <c r="B85" s="3" t="n">
        <v>45691</v>
      </c>
      <c r="C85" s="2" t="s">
        <v>41</v>
      </c>
      <c r="D85" s="2" t="s">
        <v>66</v>
      </c>
      <c r="E85" s="2" t="s">
        <v>68</v>
      </c>
      <c r="F85" s="4" t="str">
        <f aca="false">INDEX(Products!$B$2:$B$9,MATCH(E85,Products!$A$2:$A$9,0))</f>
        <v>Premium Support</v>
      </c>
      <c r="G85" s="4" t="str">
        <f aca="false">INDEX(Products!$C$2:$C$9,MATCH(E85,Products!$A$2:$A$9,0))</f>
        <v>Services</v>
      </c>
      <c r="H85" s="5" t="n">
        <v>5</v>
      </c>
      <c r="I85" s="6" t="n">
        <f aca="false">INDEX(Products!$D$2:$D$9,MATCH(E85,Products!$A$2:$A$9,0))</f>
        <v>600</v>
      </c>
      <c r="J85" s="7" t="n">
        <v>0</v>
      </c>
      <c r="K85" s="8" t="n">
        <f aca="false">H85*I85*(1-J85)</f>
        <v>3000</v>
      </c>
      <c r="L85" s="6" t="n">
        <f aca="false">H85*INDEX(Products!$E$2:$E$9,MATCH(E85,Products!$A$2:$A$9,0))</f>
        <v>1975</v>
      </c>
      <c r="M85" s="8" t="n">
        <f aca="false">K85-L85</f>
        <v>1025</v>
      </c>
      <c r="N85" s="2" t="s">
        <v>28</v>
      </c>
      <c r="O85" s="2" t="s">
        <v>52</v>
      </c>
    </row>
    <row r="86" customFormat="false" ht="15" hidden="false" customHeight="false" outlineLevel="0" collapsed="false">
      <c r="A86" s="2" t="s">
        <v>139</v>
      </c>
      <c r="B86" s="3" t="n">
        <v>45691</v>
      </c>
      <c r="C86" s="2" t="s">
        <v>47</v>
      </c>
      <c r="D86" s="2" t="s">
        <v>48</v>
      </c>
      <c r="E86" s="2" t="s">
        <v>68</v>
      </c>
      <c r="F86" s="4" t="str">
        <f aca="false">INDEX(Products!$B$2:$B$9,MATCH(E86,Products!$A$2:$A$9,0))</f>
        <v>Premium Support</v>
      </c>
      <c r="G86" s="4" t="str">
        <f aca="false">INDEX(Products!$C$2:$C$9,MATCH(E86,Products!$A$2:$A$9,0))</f>
        <v>Services</v>
      </c>
      <c r="H86" s="5" t="n">
        <v>3</v>
      </c>
      <c r="I86" s="6" t="n">
        <f aca="false">INDEX(Products!$D$2:$D$9,MATCH(E86,Products!$A$2:$A$9,0))</f>
        <v>600</v>
      </c>
      <c r="J86" s="7" t="n">
        <v>0.15</v>
      </c>
      <c r="K86" s="8" t="n">
        <f aca="false">H86*I86*(1-J86)</f>
        <v>1530</v>
      </c>
      <c r="L86" s="6" t="n">
        <f aca="false">H86*INDEX(Products!$E$2:$E$9,MATCH(E86,Products!$A$2:$A$9,0))</f>
        <v>1185</v>
      </c>
      <c r="M86" s="8" t="n">
        <f aca="false">K86-L86</f>
        <v>345</v>
      </c>
      <c r="N86" s="2" t="s">
        <v>28</v>
      </c>
      <c r="O86" s="2" t="s">
        <v>72</v>
      </c>
    </row>
    <row r="87" customFormat="false" ht="15" hidden="false" customHeight="false" outlineLevel="0" collapsed="false">
      <c r="A87" s="2" t="s">
        <v>140</v>
      </c>
      <c r="B87" s="3" t="n">
        <v>45691</v>
      </c>
      <c r="C87" s="2" t="s">
        <v>16</v>
      </c>
      <c r="D87" s="2" t="s">
        <v>25</v>
      </c>
      <c r="E87" s="2" t="s">
        <v>26</v>
      </c>
      <c r="F87" s="4" t="str">
        <f aca="false">INDEX(Products!$B$2:$B$9,MATCH(E87,Products!$A$2:$A$9,0))</f>
        <v>Analytics Basic</v>
      </c>
      <c r="G87" s="4" t="str">
        <f aca="false">INDEX(Products!$C$2:$C$9,MATCH(E87,Products!$A$2:$A$9,0))</f>
        <v>Software</v>
      </c>
      <c r="H87" s="5" t="n">
        <v>2</v>
      </c>
      <c r="I87" s="6" t="n">
        <f aca="false">INDEX(Products!$D$2:$D$9,MATCH(E87,Products!$A$2:$A$9,0))</f>
        <v>120</v>
      </c>
      <c r="J87" s="7" t="n">
        <v>0.2</v>
      </c>
      <c r="K87" s="8" t="n">
        <f aca="false">H87*I87*(1-J87)</f>
        <v>192</v>
      </c>
      <c r="L87" s="6" t="n">
        <f aca="false">H87*INDEX(Products!$E$2:$E$9,MATCH(E87,Products!$A$2:$A$9,0))</f>
        <v>36</v>
      </c>
      <c r="M87" s="8" t="n">
        <f aca="false">K87-L87</f>
        <v>156</v>
      </c>
      <c r="N87" s="2" t="s">
        <v>19</v>
      </c>
      <c r="O87" s="2" t="s">
        <v>20</v>
      </c>
    </row>
    <row r="88" customFormat="false" ht="15" hidden="false" customHeight="false" outlineLevel="0" collapsed="false">
      <c r="A88" s="2" t="s">
        <v>141</v>
      </c>
      <c r="B88" s="3" t="n">
        <v>45692</v>
      </c>
      <c r="C88" s="2" t="s">
        <v>16</v>
      </c>
      <c r="D88" s="2" t="s">
        <v>35</v>
      </c>
      <c r="E88" s="2" t="s">
        <v>18</v>
      </c>
      <c r="F88" s="4" t="str">
        <f aca="false">INDEX(Products!$B$2:$B$9,MATCH(E88,Products!$A$2:$A$9,0))</f>
        <v>Sensor Hub Pro</v>
      </c>
      <c r="G88" s="4" t="str">
        <f aca="false">INDEX(Products!$C$2:$C$9,MATCH(E88,Products!$A$2:$A$9,0))</f>
        <v>Hardware</v>
      </c>
      <c r="H88" s="5" t="n">
        <v>3</v>
      </c>
      <c r="I88" s="6" t="n">
        <f aca="false">INDEX(Products!$D$2:$D$9,MATCH(E88,Products!$A$2:$A$9,0))</f>
        <v>349</v>
      </c>
      <c r="J88" s="7" t="n">
        <v>0.05</v>
      </c>
      <c r="K88" s="8" t="n">
        <f aca="false">H88*I88*(1-J88)</f>
        <v>994.65</v>
      </c>
      <c r="L88" s="6" t="n">
        <f aca="false">H88*INDEX(Products!$E$2:$E$9,MATCH(E88,Products!$A$2:$A$9,0))</f>
        <v>603</v>
      </c>
      <c r="M88" s="8" t="n">
        <f aca="false">K88-L88</f>
        <v>391.65</v>
      </c>
      <c r="N88" s="2" t="s">
        <v>28</v>
      </c>
      <c r="O88" s="2" t="s">
        <v>36</v>
      </c>
    </row>
    <row r="89" customFormat="false" ht="15" hidden="false" customHeight="false" outlineLevel="0" collapsed="false">
      <c r="A89" s="2" t="s">
        <v>142</v>
      </c>
      <c r="B89" s="3" t="n">
        <v>45692</v>
      </c>
      <c r="C89" s="2" t="s">
        <v>47</v>
      </c>
      <c r="D89" s="2" t="s">
        <v>48</v>
      </c>
      <c r="E89" s="2" t="s">
        <v>23</v>
      </c>
      <c r="F89" s="4" t="str">
        <f aca="false">INDEX(Products!$B$2:$B$9,MATCH(E89,Products!$A$2:$A$9,0))</f>
        <v>Sensor Hub S</v>
      </c>
      <c r="G89" s="4" t="str">
        <f aca="false">INDEX(Products!$C$2:$C$9,MATCH(E89,Products!$A$2:$A$9,0))</f>
        <v>Hardware</v>
      </c>
      <c r="H89" s="5" t="n">
        <v>2</v>
      </c>
      <c r="I89" s="6" t="n">
        <f aca="false">INDEX(Products!$D$2:$D$9,MATCH(E89,Products!$A$2:$A$9,0))</f>
        <v>189</v>
      </c>
      <c r="J89" s="7" t="n">
        <v>0.15</v>
      </c>
      <c r="K89" s="8" t="n">
        <f aca="false">H89*I89*(1-J89)</f>
        <v>321.3</v>
      </c>
      <c r="L89" s="6" t="n">
        <f aca="false">H89*INDEX(Products!$E$2:$E$9,MATCH(E89,Products!$A$2:$A$9,0))</f>
        <v>196</v>
      </c>
      <c r="M89" s="8" t="n">
        <f aca="false">K89-L89</f>
        <v>125.3</v>
      </c>
      <c r="N89" s="2" t="s">
        <v>19</v>
      </c>
      <c r="O89" s="2" t="s">
        <v>50</v>
      </c>
    </row>
    <row r="90" customFormat="false" ht="15" hidden="false" customHeight="false" outlineLevel="0" collapsed="false">
      <c r="A90" s="2" t="s">
        <v>143</v>
      </c>
      <c r="B90" s="3" t="n">
        <v>45692</v>
      </c>
      <c r="C90" s="2" t="s">
        <v>41</v>
      </c>
      <c r="D90" s="2" t="s">
        <v>66</v>
      </c>
      <c r="E90" s="2" t="s">
        <v>26</v>
      </c>
      <c r="F90" s="4" t="str">
        <f aca="false">INDEX(Products!$B$2:$B$9,MATCH(E90,Products!$A$2:$A$9,0))</f>
        <v>Analytics Basic</v>
      </c>
      <c r="G90" s="4" t="str">
        <f aca="false">INDEX(Products!$C$2:$C$9,MATCH(E90,Products!$A$2:$A$9,0))</f>
        <v>Software</v>
      </c>
      <c r="H90" s="5" t="n">
        <v>1</v>
      </c>
      <c r="I90" s="6" t="n">
        <f aca="false">INDEX(Products!$D$2:$D$9,MATCH(E90,Products!$A$2:$A$9,0))</f>
        <v>120</v>
      </c>
      <c r="J90" s="7" t="n">
        <v>0</v>
      </c>
      <c r="K90" s="8" t="n">
        <f aca="false">H90*I90*(1-J90)</f>
        <v>120</v>
      </c>
      <c r="L90" s="6" t="n">
        <f aca="false">H90*INDEX(Products!$E$2:$E$9,MATCH(E90,Products!$A$2:$A$9,0))</f>
        <v>18</v>
      </c>
      <c r="M90" s="8" t="n">
        <f aca="false">K90-L90</f>
        <v>102</v>
      </c>
      <c r="N90" s="2" t="s">
        <v>28</v>
      </c>
      <c r="O90" s="2" t="s">
        <v>43</v>
      </c>
    </row>
    <row r="91" customFormat="false" ht="15" hidden="false" customHeight="false" outlineLevel="0" collapsed="false">
      <c r="A91" s="2" t="s">
        <v>144</v>
      </c>
      <c r="B91" s="3" t="n">
        <v>45692</v>
      </c>
      <c r="C91" s="2" t="s">
        <v>47</v>
      </c>
      <c r="D91" s="2" t="s">
        <v>71</v>
      </c>
      <c r="E91" s="2" t="s">
        <v>26</v>
      </c>
      <c r="F91" s="4" t="str">
        <f aca="false">INDEX(Products!$B$2:$B$9,MATCH(E91,Products!$A$2:$A$9,0))</f>
        <v>Analytics Basic</v>
      </c>
      <c r="G91" s="4" t="str">
        <f aca="false">INDEX(Products!$C$2:$C$9,MATCH(E91,Products!$A$2:$A$9,0))</f>
        <v>Software</v>
      </c>
      <c r="H91" s="5" t="n">
        <v>2</v>
      </c>
      <c r="I91" s="6" t="n">
        <f aca="false">INDEX(Products!$D$2:$D$9,MATCH(E91,Products!$A$2:$A$9,0))</f>
        <v>120</v>
      </c>
      <c r="J91" s="7" t="n">
        <v>0.1</v>
      </c>
      <c r="K91" s="8" t="n">
        <f aca="false">H91*I91*(1-J91)</f>
        <v>216</v>
      </c>
      <c r="L91" s="6" t="n">
        <f aca="false">H91*INDEX(Products!$E$2:$E$9,MATCH(E91,Products!$A$2:$A$9,0))</f>
        <v>36</v>
      </c>
      <c r="M91" s="8" t="n">
        <f aca="false">K91-L91</f>
        <v>180</v>
      </c>
      <c r="N91" s="2" t="s">
        <v>19</v>
      </c>
      <c r="O91" s="2" t="s">
        <v>50</v>
      </c>
    </row>
    <row r="92" customFormat="false" ht="15" hidden="false" customHeight="false" outlineLevel="0" collapsed="false">
      <c r="A92" s="2" t="s">
        <v>145</v>
      </c>
      <c r="B92" s="3" t="n">
        <v>45692</v>
      </c>
      <c r="C92" s="2" t="s">
        <v>47</v>
      </c>
      <c r="D92" s="2" t="s">
        <v>48</v>
      </c>
      <c r="E92" s="2" t="s">
        <v>26</v>
      </c>
      <c r="F92" s="4" t="str">
        <f aca="false">INDEX(Products!$B$2:$B$9,MATCH(E92,Products!$A$2:$A$9,0))</f>
        <v>Analytics Basic</v>
      </c>
      <c r="G92" s="4" t="str">
        <f aca="false">INDEX(Products!$C$2:$C$9,MATCH(E92,Products!$A$2:$A$9,0))</f>
        <v>Software</v>
      </c>
      <c r="H92" s="5" t="n">
        <v>1</v>
      </c>
      <c r="I92" s="6" t="n">
        <f aca="false">INDEX(Products!$D$2:$D$9,MATCH(E92,Products!$A$2:$A$9,0))</f>
        <v>120</v>
      </c>
      <c r="J92" s="7" t="n">
        <v>0</v>
      </c>
      <c r="K92" s="8" t="n">
        <f aca="false">H92*I92*(1-J92)</f>
        <v>120</v>
      </c>
      <c r="L92" s="6" t="n">
        <f aca="false">H92*INDEX(Products!$E$2:$E$9,MATCH(E92,Products!$A$2:$A$9,0))</f>
        <v>18</v>
      </c>
      <c r="M92" s="8" t="n">
        <f aca="false">K92-L92</f>
        <v>102</v>
      </c>
      <c r="N92" s="2" t="s">
        <v>28</v>
      </c>
      <c r="O92" s="2" t="s">
        <v>50</v>
      </c>
    </row>
    <row r="93" customFormat="false" ht="15" hidden="false" customHeight="false" outlineLevel="0" collapsed="false">
      <c r="A93" s="2" t="s">
        <v>146</v>
      </c>
      <c r="B93" s="3" t="n">
        <v>45693</v>
      </c>
      <c r="C93" s="2" t="s">
        <v>16</v>
      </c>
      <c r="D93" s="2" t="s">
        <v>25</v>
      </c>
      <c r="E93" s="2" t="s">
        <v>26</v>
      </c>
      <c r="F93" s="4" t="str">
        <f aca="false">INDEX(Products!$B$2:$B$9,MATCH(E93,Products!$A$2:$A$9,0))</f>
        <v>Analytics Basic</v>
      </c>
      <c r="G93" s="4" t="str">
        <f aca="false">INDEX(Products!$C$2:$C$9,MATCH(E93,Products!$A$2:$A$9,0))</f>
        <v>Software</v>
      </c>
      <c r="H93" s="5" t="n">
        <v>5</v>
      </c>
      <c r="I93" s="6" t="n">
        <f aca="false">INDEX(Products!$D$2:$D$9,MATCH(E93,Products!$A$2:$A$9,0))</f>
        <v>120</v>
      </c>
      <c r="J93" s="7" t="n">
        <v>0</v>
      </c>
      <c r="K93" s="8" t="n">
        <f aca="false">H93*I93*(1-J93)</f>
        <v>600</v>
      </c>
      <c r="L93" s="6" t="n">
        <f aca="false">H93*INDEX(Products!$E$2:$E$9,MATCH(E93,Products!$A$2:$A$9,0))</f>
        <v>90</v>
      </c>
      <c r="M93" s="8" t="n">
        <f aca="false">K93-L93</f>
        <v>510</v>
      </c>
      <c r="N93" s="2" t="s">
        <v>28</v>
      </c>
      <c r="O93" s="2" t="s">
        <v>20</v>
      </c>
    </row>
    <row r="94" customFormat="false" ht="15" hidden="false" customHeight="false" outlineLevel="0" collapsed="false">
      <c r="A94" s="2" t="s">
        <v>147</v>
      </c>
      <c r="B94" s="3" t="n">
        <v>45693</v>
      </c>
      <c r="C94" s="2" t="s">
        <v>41</v>
      </c>
      <c r="D94" s="2" t="s">
        <v>42</v>
      </c>
      <c r="E94" s="2" t="s">
        <v>49</v>
      </c>
      <c r="F94" s="4" t="str">
        <f aca="false">INDEX(Products!$B$2:$B$9,MATCH(E94,Products!$A$2:$A$9,0))</f>
        <v>Mounting Kit</v>
      </c>
      <c r="G94" s="4" t="str">
        <f aca="false">INDEX(Products!$C$2:$C$9,MATCH(E94,Products!$A$2:$A$9,0))</f>
        <v>Accessories</v>
      </c>
      <c r="H94" s="5" t="n">
        <v>10</v>
      </c>
      <c r="I94" s="6" t="n">
        <f aca="false">INDEX(Products!$D$2:$D$9,MATCH(E94,Products!$A$2:$A$9,0))</f>
        <v>39</v>
      </c>
      <c r="J94" s="7" t="n">
        <v>0.1</v>
      </c>
      <c r="K94" s="8" t="n">
        <f aca="false">H94*I94*(1-J94)</f>
        <v>351</v>
      </c>
      <c r="L94" s="6" t="n">
        <f aca="false">H94*INDEX(Products!$E$2:$E$9,MATCH(E94,Products!$A$2:$A$9,0))</f>
        <v>315</v>
      </c>
      <c r="M94" s="8" t="n">
        <f aca="false">K94-L94</f>
        <v>36</v>
      </c>
      <c r="N94" s="2" t="s">
        <v>19</v>
      </c>
      <c r="O94" s="2" t="s">
        <v>52</v>
      </c>
    </row>
    <row r="95" customFormat="false" ht="15" hidden="false" customHeight="false" outlineLevel="0" collapsed="false">
      <c r="A95" s="2" t="s">
        <v>148</v>
      </c>
      <c r="B95" s="3" t="n">
        <v>45693</v>
      </c>
      <c r="C95" s="2" t="s">
        <v>16</v>
      </c>
      <c r="D95" s="2" t="s">
        <v>35</v>
      </c>
      <c r="E95" s="2" t="s">
        <v>23</v>
      </c>
      <c r="F95" s="4" t="str">
        <f aca="false">INDEX(Products!$B$2:$B$9,MATCH(E95,Products!$A$2:$A$9,0))</f>
        <v>Sensor Hub S</v>
      </c>
      <c r="G95" s="4" t="str">
        <f aca="false">INDEX(Products!$C$2:$C$9,MATCH(E95,Products!$A$2:$A$9,0))</f>
        <v>Hardware</v>
      </c>
      <c r="H95" s="5" t="n">
        <v>1</v>
      </c>
      <c r="I95" s="6" t="n">
        <f aca="false">INDEX(Products!$D$2:$D$9,MATCH(E95,Products!$A$2:$A$9,0))</f>
        <v>189</v>
      </c>
      <c r="J95" s="7" t="n">
        <v>0.1</v>
      </c>
      <c r="K95" s="8" t="n">
        <f aca="false">H95*I95*(1-J95)</f>
        <v>170.1</v>
      </c>
      <c r="L95" s="6" t="n">
        <f aca="false">H95*INDEX(Products!$E$2:$E$9,MATCH(E95,Products!$A$2:$A$9,0))</f>
        <v>98</v>
      </c>
      <c r="M95" s="8" t="n">
        <f aca="false">K95-L95</f>
        <v>72.1</v>
      </c>
      <c r="N95" s="2" t="s">
        <v>19</v>
      </c>
      <c r="O95" s="2" t="s">
        <v>36</v>
      </c>
    </row>
    <row r="96" customFormat="false" ht="15" hidden="false" customHeight="false" outlineLevel="0" collapsed="false">
      <c r="A96" s="2" t="s">
        <v>149</v>
      </c>
      <c r="B96" s="3" t="n">
        <v>45694</v>
      </c>
      <c r="C96" s="2" t="s">
        <v>41</v>
      </c>
      <c r="D96" s="2" t="s">
        <v>66</v>
      </c>
      <c r="E96" s="2" t="s">
        <v>23</v>
      </c>
      <c r="F96" s="4" t="str">
        <f aca="false">INDEX(Products!$B$2:$B$9,MATCH(E96,Products!$A$2:$A$9,0))</f>
        <v>Sensor Hub S</v>
      </c>
      <c r="G96" s="4" t="str">
        <f aca="false">INDEX(Products!$C$2:$C$9,MATCH(E96,Products!$A$2:$A$9,0))</f>
        <v>Hardware</v>
      </c>
      <c r="H96" s="5" t="n">
        <v>8</v>
      </c>
      <c r="I96" s="6" t="n">
        <f aca="false">INDEX(Products!$D$2:$D$9,MATCH(E96,Products!$A$2:$A$9,0))</f>
        <v>189</v>
      </c>
      <c r="J96" s="7" t="n">
        <v>0</v>
      </c>
      <c r="K96" s="8" t="n">
        <f aca="false">H96*I96*(1-J96)</f>
        <v>1512</v>
      </c>
      <c r="L96" s="6" t="n">
        <f aca="false">H96*INDEX(Products!$E$2:$E$9,MATCH(E96,Products!$A$2:$A$9,0))</f>
        <v>784</v>
      </c>
      <c r="M96" s="8" t="n">
        <f aca="false">K96-L96</f>
        <v>728</v>
      </c>
      <c r="N96" s="2" t="s">
        <v>28</v>
      </c>
      <c r="O96" s="2" t="s">
        <v>52</v>
      </c>
    </row>
    <row r="97" customFormat="false" ht="15" hidden="false" customHeight="false" outlineLevel="0" collapsed="false">
      <c r="A97" s="2" t="s">
        <v>150</v>
      </c>
      <c r="B97" s="3" t="n">
        <v>45694</v>
      </c>
      <c r="C97" s="2" t="s">
        <v>47</v>
      </c>
      <c r="D97" s="2" t="s">
        <v>71</v>
      </c>
      <c r="E97" s="2" t="s">
        <v>57</v>
      </c>
      <c r="F97" s="4" t="str">
        <f aca="false">INDEX(Products!$B$2:$B$9,MATCH(E97,Products!$A$2:$A$9,0))</f>
        <v>Edge Gateway</v>
      </c>
      <c r="G97" s="4" t="str">
        <f aca="false">INDEX(Products!$C$2:$C$9,MATCH(E97,Products!$A$2:$A$9,0))</f>
        <v>Hardware</v>
      </c>
      <c r="H97" s="5" t="n">
        <v>1</v>
      </c>
      <c r="I97" s="6" t="n">
        <f aca="false">INDEX(Products!$D$2:$D$9,MATCH(E97,Products!$A$2:$A$9,0))</f>
        <v>899</v>
      </c>
      <c r="J97" s="7" t="n">
        <v>0.15</v>
      </c>
      <c r="K97" s="8" t="n">
        <f aca="false">H97*I97*(1-J97)</f>
        <v>764.15</v>
      </c>
      <c r="L97" s="6" t="n">
        <f aca="false">H97*INDEX(Products!$E$2:$E$9,MATCH(E97,Products!$A$2:$A$9,0))</f>
        <v>612</v>
      </c>
      <c r="M97" s="8" t="n">
        <f aca="false">K97-L97</f>
        <v>152.15</v>
      </c>
      <c r="N97" s="2" t="s">
        <v>28</v>
      </c>
      <c r="O97" s="2" t="s">
        <v>72</v>
      </c>
    </row>
    <row r="98" customFormat="false" ht="15" hidden="false" customHeight="false" outlineLevel="0" collapsed="false">
      <c r="A98" s="2" t="s">
        <v>151</v>
      </c>
      <c r="B98" s="3" t="n">
        <v>45694</v>
      </c>
      <c r="C98" s="2" t="s">
        <v>30</v>
      </c>
      <c r="D98" s="2" t="s">
        <v>31</v>
      </c>
      <c r="E98" s="2" t="s">
        <v>57</v>
      </c>
      <c r="F98" s="4" t="str">
        <f aca="false">INDEX(Products!$B$2:$B$9,MATCH(E98,Products!$A$2:$A$9,0))</f>
        <v>Edge Gateway</v>
      </c>
      <c r="G98" s="4" t="str">
        <f aca="false">INDEX(Products!$C$2:$C$9,MATCH(E98,Products!$A$2:$A$9,0))</f>
        <v>Hardware</v>
      </c>
      <c r="H98" s="5" t="n">
        <v>1</v>
      </c>
      <c r="I98" s="6" t="n">
        <f aca="false">INDEX(Products!$D$2:$D$9,MATCH(E98,Products!$A$2:$A$9,0))</f>
        <v>899</v>
      </c>
      <c r="J98" s="7" t="n">
        <v>0.25</v>
      </c>
      <c r="K98" s="8" t="n">
        <f aca="false">H98*I98*(1-J98)</f>
        <v>674.25</v>
      </c>
      <c r="L98" s="6" t="n">
        <f aca="false">H98*INDEX(Products!$E$2:$E$9,MATCH(E98,Products!$A$2:$A$9,0))</f>
        <v>612</v>
      </c>
      <c r="M98" s="8" t="n">
        <f aca="false">K98-L98</f>
        <v>62.25</v>
      </c>
      <c r="N98" s="2" t="s">
        <v>19</v>
      </c>
      <c r="O98" s="2" t="s">
        <v>64</v>
      </c>
    </row>
    <row r="99" customFormat="false" ht="15" hidden="false" customHeight="false" outlineLevel="0" collapsed="false">
      <c r="A99" s="2" t="s">
        <v>152</v>
      </c>
      <c r="B99" s="3" t="n">
        <v>45694</v>
      </c>
      <c r="C99" s="2" t="s">
        <v>16</v>
      </c>
      <c r="D99" s="2" t="s">
        <v>17</v>
      </c>
      <c r="E99" s="2" t="s">
        <v>26</v>
      </c>
      <c r="F99" s="4" t="str">
        <f aca="false">INDEX(Products!$B$2:$B$9,MATCH(E99,Products!$A$2:$A$9,0))</f>
        <v>Analytics Basic</v>
      </c>
      <c r="G99" s="4" t="str">
        <f aca="false">INDEX(Products!$C$2:$C$9,MATCH(E99,Products!$A$2:$A$9,0))</f>
        <v>Software</v>
      </c>
      <c r="H99" s="5" t="n">
        <v>1</v>
      </c>
      <c r="I99" s="6" t="n">
        <f aca="false">INDEX(Products!$D$2:$D$9,MATCH(E99,Products!$A$2:$A$9,0))</f>
        <v>120</v>
      </c>
      <c r="J99" s="7" t="n">
        <v>0</v>
      </c>
      <c r="K99" s="8" t="n">
        <f aca="false">H99*I99*(1-J99)</f>
        <v>120</v>
      </c>
      <c r="L99" s="6" t="n">
        <f aca="false">H99*INDEX(Products!$E$2:$E$9,MATCH(E99,Products!$A$2:$A$9,0))</f>
        <v>18</v>
      </c>
      <c r="M99" s="8" t="n">
        <f aca="false">K99-L99</f>
        <v>102</v>
      </c>
      <c r="N99" s="2" t="s">
        <v>28</v>
      </c>
      <c r="O99" s="2" t="s">
        <v>20</v>
      </c>
    </row>
    <row r="100" customFormat="false" ht="15" hidden="false" customHeight="false" outlineLevel="0" collapsed="false">
      <c r="A100" s="2" t="s">
        <v>153</v>
      </c>
      <c r="B100" s="3" t="n">
        <v>45695</v>
      </c>
      <c r="C100" s="2" t="s">
        <v>41</v>
      </c>
      <c r="D100" s="2" t="s">
        <v>66</v>
      </c>
      <c r="E100" s="2" t="s">
        <v>61</v>
      </c>
      <c r="F100" s="4" t="str">
        <f aca="false">INDEX(Products!$B$2:$B$9,MATCH(E100,Products!$A$2:$A$9,0))</f>
        <v>Install Service</v>
      </c>
      <c r="G100" s="4" t="str">
        <f aca="false">INDEX(Products!$C$2:$C$9,MATCH(E100,Products!$A$2:$A$9,0))</f>
        <v>Services</v>
      </c>
      <c r="H100" s="5" t="n">
        <v>1</v>
      </c>
      <c r="I100" s="6" t="n">
        <f aca="false">INDEX(Products!$D$2:$D$9,MATCH(E100,Products!$A$2:$A$9,0))</f>
        <v>450</v>
      </c>
      <c r="J100" s="7" t="n">
        <v>0.15</v>
      </c>
      <c r="K100" s="8" t="n">
        <f aca="false">H100*I100*(1-J100)</f>
        <v>382.5</v>
      </c>
      <c r="L100" s="6" t="n">
        <f aca="false">H100*INDEX(Products!$E$2:$E$9,MATCH(E100,Products!$A$2:$A$9,0))</f>
        <v>310</v>
      </c>
      <c r="M100" s="8" t="n">
        <f aca="false">K100-L100</f>
        <v>72.5</v>
      </c>
      <c r="N100" s="2" t="s">
        <v>19</v>
      </c>
      <c r="O100" s="2" t="s">
        <v>52</v>
      </c>
    </row>
    <row r="101" customFormat="false" ht="15" hidden="false" customHeight="false" outlineLevel="0" collapsed="false">
      <c r="A101" s="2" t="s">
        <v>154</v>
      </c>
      <c r="B101" s="3" t="n">
        <v>45695</v>
      </c>
      <c r="C101" s="2" t="s">
        <v>16</v>
      </c>
      <c r="D101" s="2" t="s">
        <v>17</v>
      </c>
      <c r="E101" s="2" t="s">
        <v>26</v>
      </c>
      <c r="F101" s="4" t="str">
        <f aca="false">INDEX(Products!$B$2:$B$9,MATCH(E101,Products!$A$2:$A$9,0))</f>
        <v>Analytics Basic</v>
      </c>
      <c r="G101" s="4" t="str">
        <f aca="false">INDEX(Products!$C$2:$C$9,MATCH(E101,Products!$A$2:$A$9,0))</f>
        <v>Software</v>
      </c>
      <c r="H101" s="5" t="n">
        <v>2</v>
      </c>
      <c r="I101" s="6" t="n">
        <f aca="false">INDEX(Products!$D$2:$D$9,MATCH(E101,Products!$A$2:$A$9,0))</f>
        <v>120</v>
      </c>
      <c r="J101" s="7" t="n">
        <v>0.05</v>
      </c>
      <c r="K101" s="8" t="n">
        <f aca="false">H101*I101*(1-J101)</f>
        <v>228</v>
      </c>
      <c r="L101" s="6" t="n">
        <f aca="false">H101*INDEX(Products!$E$2:$E$9,MATCH(E101,Products!$A$2:$A$9,0))</f>
        <v>36</v>
      </c>
      <c r="M101" s="8" t="n">
        <f aca="false">K101-L101</f>
        <v>192</v>
      </c>
      <c r="N101" s="2" t="s">
        <v>28</v>
      </c>
      <c r="O101" s="2" t="s">
        <v>36</v>
      </c>
    </row>
    <row r="102" customFormat="false" ht="15" hidden="false" customHeight="false" outlineLevel="0" collapsed="false">
      <c r="A102" s="2" t="s">
        <v>155</v>
      </c>
      <c r="B102" s="3" t="n">
        <v>45695</v>
      </c>
      <c r="C102" s="2" t="s">
        <v>59</v>
      </c>
      <c r="D102" s="2" t="s">
        <v>101</v>
      </c>
      <c r="E102" s="2" t="s">
        <v>18</v>
      </c>
      <c r="F102" s="4" t="str">
        <f aca="false">INDEX(Products!$B$2:$B$9,MATCH(E102,Products!$A$2:$A$9,0))</f>
        <v>Sensor Hub Pro</v>
      </c>
      <c r="G102" s="4" t="str">
        <f aca="false">INDEX(Products!$C$2:$C$9,MATCH(E102,Products!$A$2:$A$9,0))</f>
        <v>Hardware</v>
      </c>
      <c r="H102" s="5" t="n">
        <v>2</v>
      </c>
      <c r="I102" s="6" t="n">
        <f aca="false">INDEX(Products!$D$2:$D$9,MATCH(E102,Products!$A$2:$A$9,0))</f>
        <v>349</v>
      </c>
      <c r="J102" s="7" t="n">
        <v>0</v>
      </c>
      <c r="K102" s="8" t="n">
        <f aca="false">H102*I102*(1-J102)</f>
        <v>698</v>
      </c>
      <c r="L102" s="6" t="n">
        <f aca="false">H102*INDEX(Products!$E$2:$E$9,MATCH(E102,Products!$A$2:$A$9,0))</f>
        <v>402</v>
      </c>
      <c r="M102" s="8" t="n">
        <f aca="false">K102-L102</f>
        <v>296</v>
      </c>
      <c r="N102" s="2" t="s">
        <v>28</v>
      </c>
      <c r="O102" s="2" t="s">
        <v>62</v>
      </c>
    </row>
    <row r="103" customFormat="false" ht="15" hidden="false" customHeight="false" outlineLevel="0" collapsed="false">
      <c r="A103" s="2" t="s">
        <v>156</v>
      </c>
      <c r="B103" s="3" t="n">
        <v>45696</v>
      </c>
      <c r="C103" s="2" t="s">
        <v>47</v>
      </c>
      <c r="D103" s="2" t="s">
        <v>157</v>
      </c>
      <c r="E103" s="2" t="s">
        <v>32</v>
      </c>
      <c r="F103" s="4" t="str">
        <f aca="false">INDEX(Products!$B$2:$B$9,MATCH(E103,Products!$A$2:$A$9,0))</f>
        <v>Analytics Plus</v>
      </c>
      <c r="G103" s="4" t="str">
        <f aca="false">INDEX(Products!$C$2:$C$9,MATCH(E103,Products!$A$2:$A$9,0))</f>
        <v>Software</v>
      </c>
      <c r="H103" s="5" t="n">
        <v>1</v>
      </c>
      <c r="I103" s="6" t="n">
        <f aca="false">INDEX(Products!$D$2:$D$9,MATCH(E103,Products!$A$2:$A$9,0))</f>
        <v>290</v>
      </c>
      <c r="J103" s="7" t="n">
        <v>0</v>
      </c>
      <c r="K103" s="8" t="n">
        <f aca="false">H103*I103*(1-J103)</f>
        <v>290</v>
      </c>
      <c r="L103" s="6" t="n">
        <f aca="false">H103*INDEX(Products!$E$2:$E$9,MATCH(E103,Products!$A$2:$A$9,0))</f>
        <v>41</v>
      </c>
      <c r="M103" s="8" t="n">
        <f aca="false">K103-L103</f>
        <v>249</v>
      </c>
      <c r="N103" s="2" t="s">
        <v>28</v>
      </c>
      <c r="O103" s="2" t="s">
        <v>50</v>
      </c>
    </row>
    <row r="104" customFormat="false" ht="15" hidden="false" customHeight="false" outlineLevel="0" collapsed="false">
      <c r="A104" s="2" t="s">
        <v>158</v>
      </c>
      <c r="B104" s="3" t="n">
        <v>45697</v>
      </c>
      <c r="C104" s="2" t="s">
        <v>16</v>
      </c>
      <c r="D104" s="2" t="s">
        <v>22</v>
      </c>
      <c r="E104" s="2" t="s">
        <v>18</v>
      </c>
      <c r="F104" s="4" t="str">
        <f aca="false">INDEX(Products!$B$2:$B$9,MATCH(E104,Products!$A$2:$A$9,0))</f>
        <v>Sensor Hub Pro</v>
      </c>
      <c r="G104" s="4" t="str">
        <f aca="false">INDEX(Products!$C$2:$C$9,MATCH(E104,Products!$A$2:$A$9,0))</f>
        <v>Hardware</v>
      </c>
      <c r="H104" s="5" t="n">
        <v>20</v>
      </c>
      <c r="I104" s="6" t="n">
        <f aca="false">INDEX(Products!$D$2:$D$9,MATCH(E104,Products!$A$2:$A$9,0))</f>
        <v>349</v>
      </c>
      <c r="J104" s="7" t="n">
        <v>0.25</v>
      </c>
      <c r="K104" s="8" t="n">
        <f aca="false">H104*I104*(1-J104)</f>
        <v>5235</v>
      </c>
      <c r="L104" s="6" t="n">
        <f aca="false">H104*INDEX(Products!$E$2:$E$9,MATCH(E104,Products!$A$2:$A$9,0))</f>
        <v>4020</v>
      </c>
      <c r="M104" s="8" t="n">
        <f aca="false">K104-L104</f>
        <v>1215</v>
      </c>
      <c r="N104" s="2" t="s">
        <v>19</v>
      </c>
      <c r="O104" s="2" t="s">
        <v>20</v>
      </c>
    </row>
    <row r="105" customFormat="false" ht="15" hidden="false" customHeight="false" outlineLevel="0" collapsed="false">
      <c r="A105" s="2" t="s">
        <v>159</v>
      </c>
      <c r="B105" s="3" t="n">
        <v>45698</v>
      </c>
      <c r="C105" s="2" t="s">
        <v>16</v>
      </c>
      <c r="D105" s="2" t="s">
        <v>35</v>
      </c>
      <c r="E105" s="2" t="s">
        <v>18</v>
      </c>
      <c r="F105" s="4" t="str">
        <f aca="false">INDEX(Products!$B$2:$B$9,MATCH(E105,Products!$A$2:$A$9,0))</f>
        <v>Sensor Hub Pro</v>
      </c>
      <c r="G105" s="4" t="str">
        <f aca="false">INDEX(Products!$C$2:$C$9,MATCH(E105,Products!$A$2:$A$9,0))</f>
        <v>Hardware</v>
      </c>
      <c r="H105" s="5" t="n">
        <v>2</v>
      </c>
      <c r="I105" s="6" t="n">
        <f aca="false">INDEX(Products!$D$2:$D$9,MATCH(E105,Products!$A$2:$A$9,0))</f>
        <v>349</v>
      </c>
      <c r="J105" s="7" t="n">
        <v>0</v>
      </c>
      <c r="K105" s="8" t="n">
        <f aca="false">H105*I105*(1-J105)</f>
        <v>698</v>
      </c>
      <c r="L105" s="6" t="n">
        <f aca="false">H105*INDEX(Products!$E$2:$E$9,MATCH(E105,Products!$A$2:$A$9,0))</f>
        <v>402</v>
      </c>
      <c r="M105" s="8" t="n">
        <f aca="false">K105-L105</f>
        <v>296</v>
      </c>
      <c r="N105" s="2" t="s">
        <v>28</v>
      </c>
      <c r="O105" s="2" t="s">
        <v>20</v>
      </c>
    </row>
    <row r="106" customFormat="false" ht="15" hidden="false" customHeight="false" outlineLevel="0" collapsed="false">
      <c r="A106" s="2" t="s">
        <v>160</v>
      </c>
      <c r="B106" s="3" t="n">
        <v>45698</v>
      </c>
      <c r="C106" s="2" t="s">
        <v>47</v>
      </c>
      <c r="D106" s="2" t="s">
        <v>71</v>
      </c>
      <c r="E106" s="2" t="s">
        <v>26</v>
      </c>
      <c r="F106" s="4" t="str">
        <f aca="false">INDEX(Products!$B$2:$B$9,MATCH(E106,Products!$A$2:$A$9,0))</f>
        <v>Analytics Basic</v>
      </c>
      <c r="G106" s="4" t="str">
        <f aca="false">INDEX(Products!$C$2:$C$9,MATCH(E106,Products!$A$2:$A$9,0))</f>
        <v>Software</v>
      </c>
      <c r="H106" s="5" t="n">
        <v>1</v>
      </c>
      <c r="I106" s="6" t="n">
        <f aca="false">INDEX(Products!$D$2:$D$9,MATCH(E106,Products!$A$2:$A$9,0))</f>
        <v>120</v>
      </c>
      <c r="J106" s="7" t="n">
        <v>0.1</v>
      </c>
      <c r="K106" s="8" t="n">
        <f aca="false">H106*I106*(1-J106)</f>
        <v>108</v>
      </c>
      <c r="L106" s="6" t="n">
        <f aca="false">H106*INDEX(Products!$E$2:$E$9,MATCH(E106,Products!$A$2:$A$9,0))</f>
        <v>18</v>
      </c>
      <c r="M106" s="8" t="n">
        <f aca="false">K106-L106</f>
        <v>90</v>
      </c>
      <c r="N106" s="2" t="s">
        <v>19</v>
      </c>
      <c r="O106" s="2" t="s">
        <v>50</v>
      </c>
    </row>
    <row r="107" customFormat="false" ht="15" hidden="false" customHeight="false" outlineLevel="0" collapsed="false">
      <c r="A107" s="2" t="s">
        <v>161</v>
      </c>
      <c r="B107" s="3" t="n">
        <v>45698</v>
      </c>
      <c r="C107" s="2" t="s">
        <v>16</v>
      </c>
      <c r="D107" s="2" t="s">
        <v>35</v>
      </c>
      <c r="E107" s="2" t="s">
        <v>23</v>
      </c>
      <c r="F107" s="4" t="str">
        <f aca="false">INDEX(Products!$B$2:$B$9,MATCH(E107,Products!$A$2:$A$9,0))</f>
        <v>Sensor Hub S</v>
      </c>
      <c r="G107" s="4" t="str">
        <f aca="false">INDEX(Products!$C$2:$C$9,MATCH(E107,Products!$A$2:$A$9,0))</f>
        <v>Hardware</v>
      </c>
      <c r="H107" s="5" t="n">
        <v>5</v>
      </c>
      <c r="I107" s="6" t="n">
        <f aca="false">INDEX(Products!$D$2:$D$9,MATCH(E107,Products!$A$2:$A$9,0))</f>
        <v>189</v>
      </c>
      <c r="J107" s="7" t="n">
        <v>0.15</v>
      </c>
      <c r="K107" s="8" t="n">
        <f aca="false">H107*I107*(1-J107)</f>
        <v>803.25</v>
      </c>
      <c r="L107" s="6" t="n">
        <f aca="false">H107*INDEX(Products!$E$2:$E$9,MATCH(E107,Products!$A$2:$A$9,0))</f>
        <v>490</v>
      </c>
      <c r="M107" s="8" t="n">
        <f aca="false">K107-L107</f>
        <v>313.25</v>
      </c>
      <c r="N107" s="2" t="s">
        <v>19</v>
      </c>
      <c r="O107" s="2" t="s">
        <v>36</v>
      </c>
    </row>
    <row r="108" customFormat="false" ht="15" hidden="false" customHeight="false" outlineLevel="0" collapsed="false">
      <c r="A108" s="2" t="s">
        <v>162</v>
      </c>
      <c r="B108" s="3" t="n">
        <v>45699</v>
      </c>
      <c r="C108" s="2" t="s">
        <v>16</v>
      </c>
      <c r="D108" s="2" t="s">
        <v>35</v>
      </c>
      <c r="E108" s="2" t="s">
        <v>49</v>
      </c>
      <c r="F108" s="4" t="str">
        <f aca="false">INDEX(Products!$B$2:$B$9,MATCH(E108,Products!$A$2:$A$9,0))</f>
        <v>Mounting Kit</v>
      </c>
      <c r="G108" s="4" t="str">
        <f aca="false">INDEX(Products!$C$2:$C$9,MATCH(E108,Products!$A$2:$A$9,0))</f>
        <v>Accessories</v>
      </c>
      <c r="H108" s="5" t="n">
        <v>12</v>
      </c>
      <c r="I108" s="6" t="n">
        <f aca="false">INDEX(Products!$D$2:$D$9,MATCH(E108,Products!$A$2:$A$9,0))</f>
        <v>39</v>
      </c>
      <c r="J108" s="7" t="n">
        <v>0.1</v>
      </c>
      <c r="K108" s="8" t="n">
        <f aca="false">H108*I108*(1-J108)</f>
        <v>421.2</v>
      </c>
      <c r="L108" s="6" t="n">
        <f aca="false">H108*INDEX(Products!$E$2:$E$9,MATCH(E108,Products!$A$2:$A$9,0))</f>
        <v>378</v>
      </c>
      <c r="M108" s="8" t="n">
        <f aca="false">K108-L108</f>
        <v>43.2</v>
      </c>
      <c r="N108" s="2" t="s">
        <v>19</v>
      </c>
      <c r="O108" s="2" t="s">
        <v>36</v>
      </c>
    </row>
    <row r="109" customFormat="false" ht="15" hidden="false" customHeight="false" outlineLevel="0" collapsed="false">
      <c r="A109" s="2" t="s">
        <v>163</v>
      </c>
      <c r="B109" s="3" t="n">
        <v>45699</v>
      </c>
      <c r="C109" s="2" t="s">
        <v>41</v>
      </c>
      <c r="D109" s="2" t="s">
        <v>42</v>
      </c>
      <c r="E109" s="2" t="s">
        <v>23</v>
      </c>
      <c r="F109" s="4" t="str">
        <f aca="false">INDEX(Products!$B$2:$B$9,MATCH(E109,Products!$A$2:$A$9,0))</f>
        <v>Sensor Hub S</v>
      </c>
      <c r="G109" s="4" t="str">
        <f aca="false">INDEX(Products!$C$2:$C$9,MATCH(E109,Products!$A$2:$A$9,0))</f>
        <v>Hardware</v>
      </c>
      <c r="H109" s="5" t="n">
        <v>10</v>
      </c>
      <c r="I109" s="6" t="n">
        <f aca="false">INDEX(Products!$D$2:$D$9,MATCH(E109,Products!$A$2:$A$9,0))</f>
        <v>189</v>
      </c>
      <c r="J109" s="7" t="n">
        <v>0.1</v>
      </c>
      <c r="K109" s="8" t="n">
        <f aca="false">H109*I109*(1-J109)</f>
        <v>1701</v>
      </c>
      <c r="L109" s="6" t="n">
        <f aca="false">H109*INDEX(Products!$E$2:$E$9,MATCH(E109,Products!$A$2:$A$9,0))</f>
        <v>980</v>
      </c>
      <c r="M109" s="8" t="n">
        <f aca="false">K109-L109</f>
        <v>721</v>
      </c>
      <c r="N109" s="2" t="s">
        <v>19</v>
      </c>
      <c r="O109" s="2" t="s">
        <v>52</v>
      </c>
    </row>
    <row r="110" customFormat="false" ht="15" hidden="false" customHeight="false" outlineLevel="0" collapsed="false">
      <c r="A110" s="2" t="s">
        <v>164</v>
      </c>
      <c r="B110" s="3" t="n">
        <v>45699</v>
      </c>
      <c r="C110" s="2" t="s">
        <v>41</v>
      </c>
      <c r="D110" s="2" t="s">
        <v>66</v>
      </c>
      <c r="E110" s="2" t="s">
        <v>26</v>
      </c>
      <c r="F110" s="4" t="str">
        <f aca="false">INDEX(Products!$B$2:$B$9,MATCH(E110,Products!$A$2:$A$9,0))</f>
        <v>Analytics Basic</v>
      </c>
      <c r="G110" s="4" t="str">
        <f aca="false">INDEX(Products!$C$2:$C$9,MATCH(E110,Products!$A$2:$A$9,0))</f>
        <v>Software</v>
      </c>
      <c r="H110" s="5" t="n">
        <v>1</v>
      </c>
      <c r="I110" s="6" t="n">
        <f aca="false">INDEX(Products!$D$2:$D$9,MATCH(E110,Products!$A$2:$A$9,0))</f>
        <v>120</v>
      </c>
      <c r="J110" s="7" t="n">
        <v>0.05</v>
      </c>
      <c r="K110" s="8" t="n">
        <f aca="false">H110*I110*(1-J110)</f>
        <v>114</v>
      </c>
      <c r="L110" s="6" t="n">
        <f aca="false">H110*INDEX(Products!$E$2:$E$9,MATCH(E110,Products!$A$2:$A$9,0))</f>
        <v>18</v>
      </c>
      <c r="M110" s="8" t="n">
        <f aca="false">K110-L110</f>
        <v>96</v>
      </c>
      <c r="N110" s="2" t="s">
        <v>28</v>
      </c>
      <c r="O110" s="2" t="s">
        <v>52</v>
      </c>
    </row>
    <row r="111" customFormat="false" ht="15" hidden="false" customHeight="false" outlineLevel="0" collapsed="false">
      <c r="A111" s="2" t="s">
        <v>165</v>
      </c>
      <c r="B111" s="3" t="n">
        <v>45700</v>
      </c>
      <c r="C111" s="2" t="s">
        <v>47</v>
      </c>
      <c r="D111" s="2" t="s">
        <v>55</v>
      </c>
      <c r="E111" s="2" t="s">
        <v>32</v>
      </c>
      <c r="F111" s="4" t="str">
        <f aca="false">INDEX(Products!$B$2:$B$9,MATCH(E111,Products!$A$2:$A$9,0))</f>
        <v>Analytics Plus</v>
      </c>
      <c r="G111" s="4" t="str">
        <f aca="false">INDEX(Products!$C$2:$C$9,MATCH(E111,Products!$A$2:$A$9,0))</f>
        <v>Software</v>
      </c>
      <c r="H111" s="5" t="n">
        <v>1</v>
      </c>
      <c r="I111" s="6" t="n">
        <f aca="false">INDEX(Products!$D$2:$D$9,MATCH(E111,Products!$A$2:$A$9,0))</f>
        <v>290</v>
      </c>
      <c r="J111" s="7" t="n">
        <v>0.15</v>
      </c>
      <c r="K111" s="8" t="n">
        <f aca="false">H111*I111*(1-J111)</f>
        <v>246.5</v>
      </c>
      <c r="L111" s="6" t="n">
        <f aca="false">H111*INDEX(Products!$E$2:$E$9,MATCH(E111,Products!$A$2:$A$9,0))</f>
        <v>41</v>
      </c>
      <c r="M111" s="8" t="n">
        <f aca="false">K111-L111</f>
        <v>205.5</v>
      </c>
      <c r="N111" s="2" t="s">
        <v>19</v>
      </c>
      <c r="O111" s="2" t="s">
        <v>50</v>
      </c>
    </row>
    <row r="112" customFormat="false" ht="15" hidden="false" customHeight="false" outlineLevel="0" collapsed="false">
      <c r="A112" s="2" t="s">
        <v>166</v>
      </c>
      <c r="B112" s="3" t="n">
        <v>45700</v>
      </c>
      <c r="C112" s="2" t="s">
        <v>16</v>
      </c>
      <c r="D112" s="2" t="s">
        <v>17</v>
      </c>
      <c r="E112" s="2" t="s">
        <v>18</v>
      </c>
      <c r="F112" s="4" t="str">
        <f aca="false">INDEX(Products!$B$2:$B$9,MATCH(E112,Products!$A$2:$A$9,0))</f>
        <v>Sensor Hub Pro</v>
      </c>
      <c r="G112" s="4" t="str">
        <f aca="false">INDEX(Products!$C$2:$C$9,MATCH(E112,Products!$A$2:$A$9,0))</f>
        <v>Hardware</v>
      </c>
      <c r="H112" s="5" t="n">
        <v>1</v>
      </c>
      <c r="I112" s="6" t="n">
        <f aca="false">INDEX(Products!$D$2:$D$9,MATCH(E112,Products!$A$2:$A$9,0))</f>
        <v>349</v>
      </c>
      <c r="J112" s="7" t="n">
        <v>0.05</v>
      </c>
      <c r="K112" s="8" t="n">
        <f aca="false">H112*I112*(1-J112)</f>
        <v>331.55</v>
      </c>
      <c r="L112" s="6" t="n">
        <f aca="false">H112*INDEX(Products!$E$2:$E$9,MATCH(E112,Products!$A$2:$A$9,0))</f>
        <v>201</v>
      </c>
      <c r="M112" s="8" t="n">
        <f aca="false">K112-L112</f>
        <v>130.55</v>
      </c>
      <c r="N112" s="2" t="s">
        <v>38</v>
      </c>
      <c r="O112" s="2" t="s">
        <v>20</v>
      </c>
    </row>
    <row r="113" customFormat="false" ht="15" hidden="false" customHeight="false" outlineLevel="0" collapsed="false">
      <c r="A113" s="2" t="s">
        <v>167</v>
      </c>
      <c r="B113" s="3" t="n">
        <v>45701</v>
      </c>
      <c r="C113" s="2" t="s">
        <v>47</v>
      </c>
      <c r="D113" s="2" t="s">
        <v>71</v>
      </c>
      <c r="E113" s="2" t="s">
        <v>23</v>
      </c>
      <c r="F113" s="4" t="str">
        <f aca="false">INDEX(Products!$B$2:$B$9,MATCH(E113,Products!$A$2:$A$9,0))</f>
        <v>Sensor Hub S</v>
      </c>
      <c r="G113" s="4" t="str">
        <f aca="false">INDEX(Products!$C$2:$C$9,MATCH(E113,Products!$A$2:$A$9,0))</f>
        <v>Hardware</v>
      </c>
      <c r="H113" s="5" t="n">
        <v>4</v>
      </c>
      <c r="I113" s="6" t="n">
        <f aca="false">INDEX(Products!$D$2:$D$9,MATCH(E113,Products!$A$2:$A$9,0))</f>
        <v>189</v>
      </c>
      <c r="J113" s="7" t="n">
        <v>0.15</v>
      </c>
      <c r="K113" s="8" t="n">
        <f aca="false">H113*I113*(1-J113)</f>
        <v>642.6</v>
      </c>
      <c r="L113" s="6" t="n">
        <f aca="false">H113*INDEX(Products!$E$2:$E$9,MATCH(E113,Products!$A$2:$A$9,0))</f>
        <v>392</v>
      </c>
      <c r="M113" s="8" t="n">
        <f aca="false">K113-L113</f>
        <v>250.6</v>
      </c>
      <c r="N113" s="2" t="s">
        <v>19</v>
      </c>
      <c r="O113" s="2" t="s">
        <v>72</v>
      </c>
    </row>
    <row r="114" customFormat="false" ht="15" hidden="false" customHeight="false" outlineLevel="0" collapsed="false">
      <c r="A114" s="2" t="s">
        <v>168</v>
      </c>
      <c r="B114" s="3" t="n">
        <v>45702</v>
      </c>
      <c r="C114" s="2" t="s">
        <v>59</v>
      </c>
      <c r="D114" s="2" t="s">
        <v>60</v>
      </c>
      <c r="E114" s="2" t="s">
        <v>26</v>
      </c>
      <c r="F114" s="4" t="str">
        <f aca="false">INDEX(Products!$B$2:$B$9,MATCH(E114,Products!$A$2:$A$9,0))</f>
        <v>Analytics Basic</v>
      </c>
      <c r="G114" s="4" t="str">
        <f aca="false">INDEX(Products!$C$2:$C$9,MATCH(E114,Products!$A$2:$A$9,0))</f>
        <v>Software</v>
      </c>
      <c r="H114" s="5" t="n">
        <v>5</v>
      </c>
      <c r="I114" s="6" t="n">
        <f aca="false">INDEX(Products!$D$2:$D$9,MATCH(E114,Products!$A$2:$A$9,0))</f>
        <v>120</v>
      </c>
      <c r="J114" s="7" t="n">
        <v>0</v>
      </c>
      <c r="K114" s="8" t="n">
        <f aca="false">H114*I114*(1-J114)</f>
        <v>600</v>
      </c>
      <c r="L114" s="6" t="n">
        <f aca="false">H114*INDEX(Products!$E$2:$E$9,MATCH(E114,Products!$A$2:$A$9,0))</f>
        <v>90</v>
      </c>
      <c r="M114" s="8" t="n">
        <f aca="false">K114-L114</f>
        <v>510</v>
      </c>
      <c r="N114" s="2" t="s">
        <v>28</v>
      </c>
      <c r="O114" s="2" t="s">
        <v>62</v>
      </c>
    </row>
    <row r="115" customFormat="false" ht="15" hidden="false" customHeight="false" outlineLevel="0" collapsed="false">
      <c r="A115" s="2" t="s">
        <v>169</v>
      </c>
      <c r="B115" s="3" t="n">
        <v>45702</v>
      </c>
      <c r="C115" s="2" t="s">
        <v>41</v>
      </c>
      <c r="D115" s="2" t="s">
        <v>42</v>
      </c>
      <c r="E115" s="2" t="s">
        <v>18</v>
      </c>
      <c r="F115" s="4" t="str">
        <f aca="false">INDEX(Products!$B$2:$B$9,MATCH(E115,Products!$A$2:$A$9,0))</f>
        <v>Sensor Hub Pro</v>
      </c>
      <c r="G115" s="4" t="str">
        <f aca="false">INDEX(Products!$C$2:$C$9,MATCH(E115,Products!$A$2:$A$9,0))</f>
        <v>Hardware</v>
      </c>
      <c r="H115" s="5" t="n">
        <v>1</v>
      </c>
      <c r="I115" s="6" t="n">
        <f aca="false">INDEX(Products!$D$2:$D$9,MATCH(E115,Products!$A$2:$A$9,0))</f>
        <v>349</v>
      </c>
      <c r="J115" s="7" t="n">
        <v>0.1</v>
      </c>
      <c r="K115" s="8" t="n">
        <f aca="false">H115*I115*(1-J115)</f>
        <v>314.1</v>
      </c>
      <c r="L115" s="6" t="n">
        <f aca="false">H115*INDEX(Products!$E$2:$E$9,MATCH(E115,Products!$A$2:$A$9,0))</f>
        <v>201</v>
      </c>
      <c r="M115" s="8" t="n">
        <f aca="false">K115-L115</f>
        <v>113.1</v>
      </c>
      <c r="N115" s="2" t="s">
        <v>19</v>
      </c>
      <c r="O115" s="2" t="s">
        <v>43</v>
      </c>
    </row>
    <row r="116" customFormat="false" ht="15" hidden="false" customHeight="false" outlineLevel="0" collapsed="false">
      <c r="A116" s="2" t="s">
        <v>170</v>
      </c>
      <c r="B116" s="3" t="n">
        <v>45702</v>
      </c>
      <c r="C116" s="2" t="s">
        <v>47</v>
      </c>
      <c r="D116" s="2" t="s">
        <v>157</v>
      </c>
      <c r="E116" s="2" t="s">
        <v>23</v>
      </c>
      <c r="F116" s="4" t="str">
        <f aca="false">INDEX(Products!$B$2:$B$9,MATCH(E116,Products!$A$2:$A$9,0))</f>
        <v>Sensor Hub S</v>
      </c>
      <c r="G116" s="4" t="str">
        <f aca="false">INDEX(Products!$C$2:$C$9,MATCH(E116,Products!$A$2:$A$9,0))</f>
        <v>Hardware</v>
      </c>
      <c r="H116" s="5" t="n">
        <v>2</v>
      </c>
      <c r="I116" s="6" t="n">
        <f aca="false">INDEX(Products!$D$2:$D$9,MATCH(E116,Products!$A$2:$A$9,0))</f>
        <v>189</v>
      </c>
      <c r="J116" s="7" t="n">
        <v>0.1</v>
      </c>
      <c r="K116" s="8" t="n">
        <f aca="false">H116*I116*(1-J116)</f>
        <v>340.2</v>
      </c>
      <c r="L116" s="6" t="n">
        <f aca="false">H116*INDEX(Products!$E$2:$E$9,MATCH(E116,Products!$A$2:$A$9,0))</f>
        <v>196</v>
      </c>
      <c r="M116" s="8" t="n">
        <f aca="false">K116-L116</f>
        <v>144.2</v>
      </c>
      <c r="N116" s="2" t="s">
        <v>28</v>
      </c>
      <c r="O116" s="2" t="s">
        <v>50</v>
      </c>
    </row>
    <row r="117" customFormat="false" ht="15" hidden="false" customHeight="false" outlineLevel="0" collapsed="false">
      <c r="A117" s="2" t="s">
        <v>171</v>
      </c>
      <c r="B117" s="3" t="n">
        <v>45705</v>
      </c>
      <c r="C117" s="2" t="s">
        <v>16</v>
      </c>
      <c r="D117" s="2" t="s">
        <v>17</v>
      </c>
      <c r="E117" s="2" t="s">
        <v>23</v>
      </c>
      <c r="F117" s="4" t="str">
        <f aca="false">INDEX(Products!$B$2:$B$9,MATCH(E117,Products!$A$2:$A$9,0))</f>
        <v>Sensor Hub S</v>
      </c>
      <c r="G117" s="4" t="str">
        <f aca="false">INDEX(Products!$C$2:$C$9,MATCH(E117,Products!$A$2:$A$9,0))</f>
        <v>Hardware</v>
      </c>
      <c r="H117" s="5" t="n">
        <v>12</v>
      </c>
      <c r="I117" s="6" t="n">
        <f aca="false">INDEX(Products!$D$2:$D$9,MATCH(E117,Products!$A$2:$A$9,0))</f>
        <v>189</v>
      </c>
      <c r="J117" s="7" t="n">
        <v>0.1</v>
      </c>
      <c r="K117" s="8" t="n">
        <f aca="false">H117*I117*(1-J117)</f>
        <v>2041.2</v>
      </c>
      <c r="L117" s="6" t="n">
        <f aca="false">H117*INDEX(Products!$E$2:$E$9,MATCH(E117,Products!$A$2:$A$9,0))</f>
        <v>1176</v>
      </c>
      <c r="M117" s="8" t="n">
        <f aca="false">K117-L117</f>
        <v>865.2</v>
      </c>
      <c r="N117" s="2" t="s">
        <v>19</v>
      </c>
      <c r="O117" s="2" t="s">
        <v>20</v>
      </c>
    </row>
    <row r="118" customFormat="false" ht="15" hidden="false" customHeight="false" outlineLevel="0" collapsed="false">
      <c r="A118" s="2" t="s">
        <v>172</v>
      </c>
      <c r="B118" s="3" t="n">
        <v>45705</v>
      </c>
      <c r="C118" s="2" t="s">
        <v>41</v>
      </c>
      <c r="D118" s="2" t="s">
        <v>66</v>
      </c>
      <c r="E118" s="2" t="s">
        <v>68</v>
      </c>
      <c r="F118" s="4" t="str">
        <f aca="false">INDEX(Products!$B$2:$B$9,MATCH(E118,Products!$A$2:$A$9,0))</f>
        <v>Premium Support</v>
      </c>
      <c r="G118" s="4" t="str">
        <f aca="false">INDEX(Products!$C$2:$C$9,MATCH(E118,Products!$A$2:$A$9,0))</f>
        <v>Services</v>
      </c>
      <c r="H118" s="5" t="n">
        <v>1</v>
      </c>
      <c r="I118" s="6" t="n">
        <f aca="false">INDEX(Products!$D$2:$D$9,MATCH(E118,Products!$A$2:$A$9,0))</f>
        <v>600</v>
      </c>
      <c r="J118" s="7" t="n">
        <v>0.05</v>
      </c>
      <c r="K118" s="8" t="n">
        <f aca="false">H118*I118*(1-J118)</f>
        <v>570</v>
      </c>
      <c r="L118" s="6" t="n">
        <f aca="false">H118*INDEX(Products!$E$2:$E$9,MATCH(E118,Products!$A$2:$A$9,0))</f>
        <v>395</v>
      </c>
      <c r="M118" s="8" t="n">
        <f aca="false">K118-L118</f>
        <v>175</v>
      </c>
      <c r="N118" s="2" t="s">
        <v>38</v>
      </c>
      <c r="O118" s="2" t="s">
        <v>43</v>
      </c>
    </row>
    <row r="119" customFormat="false" ht="15" hidden="false" customHeight="false" outlineLevel="0" collapsed="false">
      <c r="A119" s="2" t="s">
        <v>173</v>
      </c>
      <c r="B119" s="3" t="n">
        <v>45705</v>
      </c>
      <c r="C119" s="2" t="s">
        <v>16</v>
      </c>
      <c r="D119" s="2" t="s">
        <v>25</v>
      </c>
      <c r="E119" s="2" t="s">
        <v>18</v>
      </c>
      <c r="F119" s="4" t="str">
        <f aca="false">INDEX(Products!$B$2:$B$9,MATCH(E119,Products!$A$2:$A$9,0))</f>
        <v>Sensor Hub Pro</v>
      </c>
      <c r="G119" s="4" t="str">
        <f aca="false">INDEX(Products!$C$2:$C$9,MATCH(E119,Products!$A$2:$A$9,0))</f>
        <v>Hardware</v>
      </c>
      <c r="H119" s="5" t="n">
        <v>12</v>
      </c>
      <c r="I119" s="6" t="n">
        <f aca="false">INDEX(Products!$D$2:$D$9,MATCH(E119,Products!$A$2:$A$9,0))</f>
        <v>349</v>
      </c>
      <c r="J119" s="7" t="n">
        <v>0.2</v>
      </c>
      <c r="K119" s="8" t="n">
        <f aca="false">H119*I119*(1-J119)</f>
        <v>3350.4</v>
      </c>
      <c r="L119" s="6" t="n">
        <f aca="false">H119*INDEX(Products!$E$2:$E$9,MATCH(E119,Products!$A$2:$A$9,0))</f>
        <v>2412</v>
      </c>
      <c r="M119" s="8" t="n">
        <f aca="false">K119-L119</f>
        <v>938.4</v>
      </c>
      <c r="N119" s="2" t="s">
        <v>19</v>
      </c>
      <c r="O119" s="2" t="s">
        <v>36</v>
      </c>
    </row>
    <row r="120" customFormat="false" ht="15" hidden="false" customHeight="false" outlineLevel="0" collapsed="false">
      <c r="A120" s="2" t="s">
        <v>174</v>
      </c>
      <c r="B120" s="3" t="n">
        <v>45706</v>
      </c>
      <c r="C120" s="2" t="s">
        <v>47</v>
      </c>
      <c r="D120" s="2" t="s">
        <v>48</v>
      </c>
      <c r="E120" s="2" t="s">
        <v>61</v>
      </c>
      <c r="F120" s="4" t="str">
        <f aca="false">INDEX(Products!$B$2:$B$9,MATCH(E120,Products!$A$2:$A$9,0))</f>
        <v>Install Service</v>
      </c>
      <c r="G120" s="4" t="str">
        <f aca="false">INDEX(Products!$C$2:$C$9,MATCH(E120,Products!$A$2:$A$9,0))</f>
        <v>Services</v>
      </c>
      <c r="H120" s="5" t="n">
        <v>2</v>
      </c>
      <c r="I120" s="6" t="n">
        <f aca="false">INDEX(Products!$D$2:$D$9,MATCH(E120,Products!$A$2:$A$9,0))</f>
        <v>450</v>
      </c>
      <c r="J120" s="7" t="n">
        <v>0</v>
      </c>
      <c r="K120" s="8" t="n">
        <f aca="false">H120*I120*(1-J120)</f>
        <v>900</v>
      </c>
      <c r="L120" s="6" t="n">
        <f aca="false">H120*INDEX(Products!$E$2:$E$9,MATCH(E120,Products!$A$2:$A$9,0))</f>
        <v>620</v>
      </c>
      <c r="M120" s="8" t="n">
        <f aca="false">K120-L120</f>
        <v>280</v>
      </c>
      <c r="N120" s="2" t="s">
        <v>28</v>
      </c>
      <c r="O120" s="2" t="s">
        <v>72</v>
      </c>
    </row>
    <row r="121" customFormat="false" ht="15" hidden="false" customHeight="false" outlineLevel="0" collapsed="false">
      <c r="A121" s="2" t="s">
        <v>175</v>
      </c>
      <c r="B121" s="3" t="n">
        <v>45706</v>
      </c>
      <c r="C121" s="2" t="s">
        <v>41</v>
      </c>
      <c r="D121" s="2" t="s">
        <v>66</v>
      </c>
      <c r="E121" s="2" t="s">
        <v>18</v>
      </c>
      <c r="F121" s="4" t="str">
        <f aca="false">INDEX(Products!$B$2:$B$9,MATCH(E121,Products!$A$2:$A$9,0))</f>
        <v>Sensor Hub Pro</v>
      </c>
      <c r="G121" s="4" t="str">
        <f aca="false">INDEX(Products!$C$2:$C$9,MATCH(E121,Products!$A$2:$A$9,0))</f>
        <v>Hardware</v>
      </c>
      <c r="H121" s="5" t="n">
        <v>5</v>
      </c>
      <c r="I121" s="6" t="n">
        <f aca="false">INDEX(Products!$D$2:$D$9,MATCH(E121,Products!$A$2:$A$9,0))</f>
        <v>349</v>
      </c>
      <c r="J121" s="7" t="n">
        <v>0.1</v>
      </c>
      <c r="K121" s="8" t="n">
        <f aca="false">H121*I121*(1-J121)</f>
        <v>1570.5</v>
      </c>
      <c r="L121" s="6" t="n">
        <f aca="false">H121*INDEX(Products!$E$2:$E$9,MATCH(E121,Products!$A$2:$A$9,0))</f>
        <v>1005</v>
      </c>
      <c r="M121" s="8" t="n">
        <f aca="false">K121-L121</f>
        <v>565.5</v>
      </c>
      <c r="N121" s="2" t="s">
        <v>28</v>
      </c>
      <c r="O121" s="2" t="s">
        <v>52</v>
      </c>
    </row>
    <row r="122" customFormat="false" ht="15" hidden="false" customHeight="false" outlineLevel="0" collapsed="false">
      <c r="A122" s="2" t="s">
        <v>176</v>
      </c>
      <c r="B122" s="3" t="n">
        <v>45707</v>
      </c>
      <c r="C122" s="2" t="s">
        <v>47</v>
      </c>
      <c r="D122" s="2" t="s">
        <v>55</v>
      </c>
      <c r="E122" s="2" t="s">
        <v>32</v>
      </c>
      <c r="F122" s="4" t="str">
        <f aca="false">INDEX(Products!$B$2:$B$9,MATCH(E122,Products!$A$2:$A$9,0))</f>
        <v>Analytics Plus</v>
      </c>
      <c r="G122" s="4" t="str">
        <f aca="false">INDEX(Products!$C$2:$C$9,MATCH(E122,Products!$A$2:$A$9,0))</f>
        <v>Software</v>
      </c>
      <c r="H122" s="5" t="n">
        <v>5</v>
      </c>
      <c r="I122" s="6" t="n">
        <f aca="false">INDEX(Products!$D$2:$D$9,MATCH(E122,Products!$A$2:$A$9,0))</f>
        <v>290</v>
      </c>
      <c r="J122" s="7" t="n">
        <v>0.05</v>
      </c>
      <c r="K122" s="8" t="n">
        <f aca="false">H122*I122*(1-J122)</f>
        <v>1377.5</v>
      </c>
      <c r="L122" s="6" t="n">
        <f aca="false">H122*INDEX(Products!$E$2:$E$9,MATCH(E122,Products!$A$2:$A$9,0))</f>
        <v>205</v>
      </c>
      <c r="M122" s="8" t="n">
        <f aca="false">K122-L122</f>
        <v>1172.5</v>
      </c>
      <c r="N122" s="2" t="s">
        <v>38</v>
      </c>
      <c r="O122" s="2" t="s">
        <v>72</v>
      </c>
    </row>
    <row r="123" customFormat="false" ht="15" hidden="false" customHeight="false" outlineLevel="0" collapsed="false">
      <c r="A123" s="2" t="s">
        <v>177</v>
      </c>
      <c r="B123" s="3" t="n">
        <v>45707</v>
      </c>
      <c r="C123" s="2" t="s">
        <v>47</v>
      </c>
      <c r="D123" s="2" t="s">
        <v>55</v>
      </c>
      <c r="E123" s="2" t="s">
        <v>32</v>
      </c>
      <c r="F123" s="4" t="str">
        <f aca="false">INDEX(Products!$B$2:$B$9,MATCH(E123,Products!$A$2:$A$9,0))</f>
        <v>Analytics Plus</v>
      </c>
      <c r="G123" s="4" t="str">
        <f aca="false">INDEX(Products!$C$2:$C$9,MATCH(E123,Products!$A$2:$A$9,0))</f>
        <v>Software</v>
      </c>
      <c r="H123" s="5" t="n">
        <v>1</v>
      </c>
      <c r="I123" s="6" t="n">
        <f aca="false">INDEX(Products!$D$2:$D$9,MATCH(E123,Products!$A$2:$A$9,0))</f>
        <v>290</v>
      </c>
      <c r="J123" s="7" t="n">
        <v>0.05</v>
      </c>
      <c r="K123" s="8" t="n">
        <f aca="false">H123*I123*(1-J123)</f>
        <v>275.5</v>
      </c>
      <c r="L123" s="6" t="n">
        <f aca="false">H123*INDEX(Products!$E$2:$E$9,MATCH(E123,Products!$A$2:$A$9,0))</f>
        <v>41</v>
      </c>
      <c r="M123" s="8" t="n">
        <f aca="false">K123-L123</f>
        <v>234.5</v>
      </c>
      <c r="N123" s="2" t="s">
        <v>38</v>
      </c>
      <c r="O123" s="2" t="s">
        <v>50</v>
      </c>
    </row>
    <row r="124" customFormat="false" ht="15" hidden="false" customHeight="false" outlineLevel="0" collapsed="false">
      <c r="A124" s="2" t="s">
        <v>178</v>
      </c>
      <c r="B124" s="3" t="n">
        <v>45707</v>
      </c>
      <c r="C124" s="2" t="s">
        <v>16</v>
      </c>
      <c r="D124" s="2" t="s">
        <v>25</v>
      </c>
      <c r="E124" s="2" t="s">
        <v>23</v>
      </c>
      <c r="F124" s="4" t="str">
        <f aca="false">INDEX(Products!$B$2:$B$9,MATCH(E124,Products!$A$2:$A$9,0))</f>
        <v>Sensor Hub S</v>
      </c>
      <c r="G124" s="4" t="str">
        <f aca="false">INDEX(Products!$C$2:$C$9,MATCH(E124,Products!$A$2:$A$9,0))</f>
        <v>Hardware</v>
      </c>
      <c r="H124" s="5" t="n">
        <v>20</v>
      </c>
      <c r="I124" s="6" t="n">
        <f aca="false">INDEX(Products!$D$2:$D$9,MATCH(E124,Products!$A$2:$A$9,0))</f>
        <v>189</v>
      </c>
      <c r="J124" s="7" t="n">
        <v>0</v>
      </c>
      <c r="K124" s="8" t="n">
        <f aca="false">H124*I124*(1-J124)</f>
        <v>3780</v>
      </c>
      <c r="L124" s="6" t="n">
        <f aca="false">H124*INDEX(Products!$E$2:$E$9,MATCH(E124,Products!$A$2:$A$9,0))</f>
        <v>1960</v>
      </c>
      <c r="M124" s="8" t="n">
        <f aca="false">K124-L124</f>
        <v>1820</v>
      </c>
      <c r="N124" s="2" t="s">
        <v>38</v>
      </c>
      <c r="O124" s="2" t="s">
        <v>20</v>
      </c>
    </row>
    <row r="125" customFormat="false" ht="15" hidden="false" customHeight="false" outlineLevel="0" collapsed="false">
      <c r="A125" s="2" t="s">
        <v>179</v>
      </c>
      <c r="B125" s="3" t="n">
        <v>45708</v>
      </c>
      <c r="C125" s="2" t="s">
        <v>41</v>
      </c>
      <c r="D125" s="2" t="s">
        <v>66</v>
      </c>
      <c r="E125" s="2" t="s">
        <v>68</v>
      </c>
      <c r="F125" s="4" t="str">
        <f aca="false">INDEX(Products!$B$2:$B$9,MATCH(E125,Products!$A$2:$A$9,0))</f>
        <v>Premium Support</v>
      </c>
      <c r="G125" s="4" t="str">
        <f aca="false">INDEX(Products!$C$2:$C$9,MATCH(E125,Products!$A$2:$A$9,0))</f>
        <v>Services</v>
      </c>
      <c r="H125" s="5" t="n">
        <v>5</v>
      </c>
      <c r="I125" s="6" t="n">
        <f aca="false">INDEX(Products!$D$2:$D$9,MATCH(E125,Products!$A$2:$A$9,0))</f>
        <v>600</v>
      </c>
      <c r="J125" s="7" t="n">
        <v>0.05</v>
      </c>
      <c r="K125" s="8" t="n">
        <f aca="false">H125*I125*(1-J125)</f>
        <v>2850</v>
      </c>
      <c r="L125" s="6" t="n">
        <f aca="false">H125*INDEX(Products!$E$2:$E$9,MATCH(E125,Products!$A$2:$A$9,0))</f>
        <v>1975</v>
      </c>
      <c r="M125" s="8" t="n">
        <f aca="false">K125-L125</f>
        <v>875</v>
      </c>
      <c r="N125" s="2" t="s">
        <v>38</v>
      </c>
      <c r="O125" s="2" t="s">
        <v>52</v>
      </c>
    </row>
    <row r="126" customFormat="false" ht="15" hidden="false" customHeight="false" outlineLevel="0" collapsed="false">
      <c r="A126" s="2" t="s">
        <v>180</v>
      </c>
      <c r="B126" s="3" t="n">
        <v>45708</v>
      </c>
      <c r="C126" s="2" t="s">
        <v>30</v>
      </c>
      <c r="D126" s="2" t="s">
        <v>77</v>
      </c>
      <c r="E126" s="2" t="s">
        <v>23</v>
      </c>
      <c r="F126" s="4" t="str">
        <f aca="false">INDEX(Products!$B$2:$B$9,MATCH(E126,Products!$A$2:$A$9,0))</f>
        <v>Sensor Hub S</v>
      </c>
      <c r="G126" s="4" t="str">
        <f aca="false">INDEX(Products!$C$2:$C$9,MATCH(E126,Products!$A$2:$A$9,0))</f>
        <v>Hardware</v>
      </c>
      <c r="H126" s="5" t="n">
        <v>1</v>
      </c>
      <c r="I126" s="6" t="n">
        <f aca="false">INDEX(Products!$D$2:$D$9,MATCH(E126,Products!$A$2:$A$9,0))</f>
        <v>189</v>
      </c>
      <c r="J126" s="7" t="n">
        <v>0.1</v>
      </c>
      <c r="K126" s="8" t="n">
        <f aca="false">H126*I126*(1-J126)</f>
        <v>170.1</v>
      </c>
      <c r="L126" s="6" t="n">
        <f aca="false">H126*INDEX(Products!$E$2:$E$9,MATCH(E126,Products!$A$2:$A$9,0))</f>
        <v>98</v>
      </c>
      <c r="M126" s="8" t="n">
        <f aca="false">K126-L126</f>
        <v>72.1</v>
      </c>
      <c r="N126" s="2" t="s">
        <v>28</v>
      </c>
      <c r="O126" s="2" t="s">
        <v>64</v>
      </c>
    </row>
    <row r="127" customFormat="false" ht="15" hidden="false" customHeight="false" outlineLevel="0" collapsed="false">
      <c r="A127" s="2" t="s">
        <v>181</v>
      </c>
      <c r="B127" s="3" t="n">
        <v>45709</v>
      </c>
      <c r="C127" s="2" t="s">
        <v>41</v>
      </c>
      <c r="D127" s="2" t="s">
        <v>42</v>
      </c>
      <c r="E127" s="2" t="s">
        <v>26</v>
      </c>
      <c r="F127" s="4" t="str">
        <f aca="false">INDEX(Products!$B$2:$B$9,MATCH(E127,Products!$A$2:$A$9,0))</f>
        <v>Analytics Basic</v>
      </c>
      <c r="G127" s="4" t="str">
        <f aca="false">INDEX(Products!$C$2:$C$9,MATCH(E127,Products!$A$2:$A$9,0))</f>
        <v>Software</v>
      </c>
      <c r="H127" s="5" t="n">
        <v>1</v>
      </c>
      <c r="I127" s="6" t="n">
        <f aca="false">INDEX(Products!$D$2:$D$9,MATCH(E127,Products!$A$2:$A$9,0))</f>
        <v>120</v>
      </c>
      <c r="J127" s="7" t="n">
        <v>0.2</v>
      </c>
      <c r="K127" s="8" t="n">
        <f aca="false">H127*I127*(1-J127)</f>
        <v>96</v>
      </c>
      <c r="L127" s="6" t="n">
        <f aca="false">H127*INDEX(Products!$E$2:$E$9,MATCH(E127,Products!$A$2:$A$9,0))</f>
        <v>18</v>
      </c>
      <c r="M127" s="8" t="n">
        <f aca="false">K127-L127</f>
        <v>78</v>
      </c>
      <c r="N127" s="2" t="s">
        <v>19</v>
      </c>
      <c r="O127" s="2" t="s">
        <v>52</v>
      </c>
    </row>
    <row r="128" customFormat="false" ht="15" hidden="false" customHeight="false" outlineLevel="0" collapsed="false">
      <c r="A128" s="2" t="s">
        <v>182</v>
      </c>
      <c r="B128" s="3" t="n">
        <v>45709</v>
      </c>
      <c r="C128" s="2" t="s">
        <v>16</v>
      </c>
      <c r="D128" s="2" t="s">
        <v>17</v>
      </c>
      <c r="E128" s="2" t="s">
        <v>18</v>
      </c>
      <c r="F128" s="4" t="str">
        <f aca="false">INDEX(Products!$B$2:$B$9,MATCH(E128,Products!$A$2:$A$9,0))</f>
        <v>Sensor Hub Pro</v>
      </c>
      <c r="G128" s="4" t="str">
        <f aca="false">INDEX(Products!$C$2:$C$9,MATCH(E128,Products!$A$2:$A$9,0))</f>
        <v>Hardware</v>
      </c>
      <c r="H128" s="5" t="n">
        <v>1</v>
      </c>
      <c r="I128" s="6" t="n">
        <f aca="false">INDEX(Products!$D$2:$D$9,MATCH(E128,Products!$A$2:$A$9,0))</f>
        <v>349</v>
      </c>
      <c r="J128" s="7" t="n">
        <v>0.15</v>
      </c>
      <c r="K128" s="8" t="n">
        <f aca="false">H128*I128*(1-J128)</f>
        <v>296.65</v>
      </c>
      <c r="L128" s="6" t="n">
        <f aca="false">H128*INDEX(Products!$E$2:$E$9,MATCH(E128,Products!$A$2:$A$9,0))</f>
        <v>201</v>
      </c>
      <c r="M128" s="8" t="n">
        <f aca="false">K128-L128</f>
        <v>95.65</v>
      </c>
      <c r="N128" s="2" t="s">
        <v>28</v>
      </c>
      <c r="O128" s="2" t="s">
        <v>20</v>
      </c>
    </row>
    <row r="129" customFormat="false" ht="15" hidden="false" customHeight="false" outlineLevel="0" collapsed="false">
      <c r="A129" s="2" t="s">
        <v>183</v>
      </c>
      <c r="B129" s="3" t="n">
        <v>45709</v>
      </c>
      <c r="C129" s="2" t="s">
        <v>47</v>
      </c>
      <c r="D129" s="2" t="s">
        <v>48</v>
      </c>
      <c r="E129" s="2" t="s">
        <v>26</v>
      </c>
      <c r="F129" s="4" t="str">
        <f aca="false">INDEX(Products!$B$2:$B$9,MATCH(E129,Products!$A$2:$A$9,0))</f>
        <v>Analytics Basic</v>
      </c>
      <c r="G129" s="4" t="str">
        <f aca="false">INDEX(Products!$C$2:$C$9,MATCH(E129,Products!$A$2:$A$9,0))</f>
        <v>Software</v>
      </c>
      <c r="H129" s="5" t="n">
        <v>1</v>
      </c>
      <c r="I129" s="6" t="n">
        <f aca="false">INDEX(Products!$D$2:$D$9,MATCH(E129,Products!$A$2:$A$9,0))</f>
        <v>120</v>
      </c>
      <c r="J129" s="7" t="n">
        <v>0.15</v>
      </c>
      <c r="K129" s="8" t="n">
        <f aca="false">H129*I129*(1-J129)</f>
        <v>102</v>
      </c>
      <c r="L129" s="6" t="n">
        <f aca="false">H129*INDEX(Products!$E$2:$E$9,MATCH(E129,Products!$A$2:$A$9,0))</f>
        <v>18</v>
      </c>
      <c r="M129" s="8" t="n">
        <f aca="false">K129-L129</f>
        <v>84</v>
      </c>
      <c r="N129" s="2" t="s">
        <v>19</v>
      </c>
      <c r="O129" s="2" t="s">
        <v>72</v>
      </c>
    </row>
    <row r="130" customFormat="false" ht="15" hidden="false" customHeight="false" outlineLevel="0" collapsed="false">
      <c r="A130" s="2" t="s">
        <v>184</v>
      </c>
      <c r="B130" s="3" t="n">
        <v>45709</v>
      </c>
      <c r="C130" s="2" t="s">
        <v>16</v>
      </c>
      <c r="D130" s="2" t="s">
        <v>25</v>
      </c>
      <c r="E130" s="2" t="s">
        <v>32</v>
      </c>
      <c r="F130" s="4" t="str">
        <f aca="false">INDEX(Products!$B$2:$B$9,MATCH(E130,Products!$A$2:$A$9,0))</f>
        <v>Analytics Plus</v>
      </c>
      <c r="G130" s="4" t="str">
        <f aca="false">INDEX(Products!$C$2:$C$9,MATCH(E130,Products!$A$2:$A$9,0))</f>
        <v>Software</v>
      </c>
      <c r="H130" s="5" t="n">
        <v>2</v>
      </c>
      <c r="I130" s="6" t="n">
        <f aca="false">INDEX(Products!$D$2:$D$9,MATCH(E130,Products!$A$2:$A$9,0))</f>
        <v>290</v>
      </c>
      <c r="J130" s="7" t="n">
        <v>0.1</v>
      </c>
      <c r="K130" s="8" t="n">
        <f aca="false">H130*I130*(1-J130)</f>
        <v>522</v>
      </c>
      <c r="L130" s="6" t="n">
        <f aca="false">H130*INDEX(Products!$E$2:$E$9,MATCH(E130,Products!$A$2:$A$9,0))</f>
        <v>82</v>
      </c>
      <c r="M130" s="8" t="n">
        <f aca="false">K130-L130</f>
        <v>440</v>
      </c>
      <c r="N130" s="2" t="s">
        <v>19</v>
      </c>
      <c r="O130" s="2" t="s">
        <v>36</v>
      </c>
    </row>
    <row r="131" customFormat="false" ht="15" hidden="false" customHeight="false" outlineLevel="0" collapsed="false">
      <c r="A131" s="2" t="s">
        <v>185</v>
      </c>
      <c r="B131" s="3" t="n">
        <v>45712</v>
      </c>
      <c r="C131" s="2" t="s">
        <v>16</v>
      </c>
      <c r="D131" s="2" t="s">
        <v>35</v>
      </c>
      <c r="E131" s="2" t="s">
        <v>26</v>
      </c>
      <c r="F131" s="4" t="str">
        <f aca="false">INDEX(Products!$B$2:$B$9,MATCH(E131,Products!$A$2:$A$9,0))</f>
        <v>Analytics Basic</v>
      </c>
      <c r="G131" s="4" t="str">
        <f aca="false">INDEX(Products!$C$2:$C$9,MATCH(E131,Products!$A$2:$A$9,0))</f>
        <v>Software</v>
      </c>
      <c r="H131" s="5" t="n">
        <v>1</v>
      </c>
      <c r="I131" s="6" t="n">
        <f aca="false">INDEX(Products!$D$2:$D$9,MATCH(E131,Products!$A$2:$A$9,0))</f>
        <v>120</v>
      </c>
      <c r="J131" s="7" t="n">
        <v>0</v>
      </c>
      <c r="K131" s="8" t="n">
        <f aca="false">H131*I131*(1-J131)</f>
        <v>120</v>
      </c>
      <c r="L131" s="6" t="n">
        <f aca="false">H131*INDEX(Products!$E$2:$E$9,MATCH(E131,Products!$A$2:$A$9,0))</f>
        <v>18</v>
      </c>
      <c r="M131" s="8" t="n">
        <f aca="false">K131-L131</f>
        <v>102</v>
      </c>
      <c r="N131" s="2" t="s">
        <v>28</v>
      </c>
      <c r="O131" s="2" t="s">
        <v>20</v>
      </c>
    </row>
    <row r="132" customFormat="false" ht="15" hidden="false" customHeight="false" outlineLevel="0" collapsed="false">
      <c r="A132" s="2" t="s">
        <v>186</v>
      </c>
      <c r="B132" s="3" t="n">
        <v>45712</v>
      </c>
      <c r="C132" s="2" t="s">
        <v>41</v>
      </c>
      <c r="D132" s="2" t="s">
        <v>66</v>
      </c>
      <c r="E132" s="2" t="s">
        <v>26</v>
      </c>
      <c r="F132" s="4" t="str">
        <f aca="false">INDEX(Products!$B$2:$B$9,MATCH(E132,Products!$A$2:$A$9,0))</f>
        <v>Analytics Basic</v>
      </c>
      <c r="G132" s="4" t="str">
        <f aca="false">INDEX(Products!$C$2:$C$9,MATCH(E132,Products!$A$2:$A$9,0))</f>
        <v>Software</v>
      </c>
      <c r="H132" s="5" t="n">
        <v>1</v>
      </c>
      <c r="I132" s="6" t="n">
        <f aca="false">INDEX(Products!$D$2:$D$9,MATCH(E132,Products!$A$2:$A$9,0))</f>
        <v>120</v>
      </c>
      <c r="J132" s="7" t="n">
        <v>0.05</v>
      </c>
      <c r="K132" s="8" t="n">
        <f aca="false">H132*I132*(1-J132)</f>
        <v>114</v>
      </c>
      <c r="L132" s="6" t="n">
        <f aca="false">H132*INDEX(Products!$E$2:$E$9,MATCH(E132,Products!$A$2:$A$9,0))</f>
        <v>18</v>
      </c>
      <c r="M132" s="8" t="n">
        <f aca="false">K132-L132</f>
        <v>96</v>
      </c>
      <c r="N132" s="2" t="s">
        <v>28</v>
      </c>
      <c r="O132" s="2" t="s">
        <v>43</v>
      </c>
    </row>
    <row r="133" customFormat="false" ht="15" hidden="false" customHeight="false" outlineLevel="0" collapsed="false">
      <c r="A133" s="2" t="s">
        <v>187</v>
      </c>
      <c r="B133" s="3" t="n">
        <v>45712</v>
      </c>
      <c r="C133" s="2" t="s">
        <v>16</v>
      </c>
      <c r="D133" s="2" t="s">
        <v>35</v>
      </c>
      <c r="E133" s="2" t="s">
        <v>26</v>
      </c>
      <c r="F133" s="4" t="str">
        <f aca="false">INDEX(Products!$B$2:$B$9,MATCH(E133,Products!$A$2:$A$9,0))</f>
        <v>Analytics Basic</v>
      </c>
      <c r="G133" s="4" t="str">
        <f aca="false">INDEX(Products!$C$2:$C$9,MATCH(E133,Products!$A$2:$A$9,0))</f>
        <v>Software</v>
      </c>
      <c r="H133" s="5" t="n">
        <v>3</v>
      </c>
      <c r="I133" s="6" t="n">
        <f aca="false">INDEX(Products!$D$2:$D$9,MATCH(E133,Products!$A$2:$A$9,0))</f>
        <v>120</v>
      </c>
      <c r="J133" s="7" t="n">
        <v>0.1</v>
      </c>
      <c r="K133" s="8" t="n">
        <f aca="false">H133*I133*(1-J133)</f>
        <v>324</v>
      </c>
      <c r="L133" s="6" t="n">
        <f aca="false">H133*INDEX(Products!$E$2:$E$9,MATCH(E133,Products!$A$2:$A$9,0))</f>
        <v>54</v>
      </c>
      <c r="M133" s="8" t="n">
        <f aca="false">K133-L133</f>
        <v>270</v>
      </c>
      <c r="N133" s="2" t="s">
        <v>28</v>
      </c>
      <c r="O133" s="2" t="s">
        <v>36</v>
      </c>
    </row>
    <row r="134" customFormat="false" ht="15" hidden="false" customHeight="false" outlineLevel="0" collapsed="false">
      <c r="A134" s="2" t="s">
        <v>188</v>
      </c>
      <c r="B134" s="3" t="n">
        <v>45712</v>
      </c>
      <c r="C134" s="2" t="s">
        <v>59</v>
      </c>
      <c r="D134" s="2" t="s">
        <v>60</v>
      </c>
      <c r="E134" s="2" t="s">
        <v>32</v>
      </c>
      <c r="F134" s="4" t="str">
        <f aca="false">INDEX(Products!$B$2:$B$9,MATCH(E134,Products!$A$2:$A$9,0))</f>
        <v>Analytics Plus</v>
      </c>
      <c r="G134" s="4" t="str">
        <f aca="false">INDEX(Products!$C$2:$C$9,MATCH(E134,Products!$A$2:$A$9,0))</f>
        <v>Software</v>
      </c>
      <c r="H134" s="5" t="n">
        <v>1</v>
      </c>
      <c r="I134" s="6" t="n">
        <f aca="false">INDEX(Products!$D$2:$D$9,MATCH(E134,Products!$A$2:$A$9,0))</f>
        <v>290</v>
      </c>
      <c r="J134" s="7" t="n">
        <v>0.15</v>
      </c>
      <c r="K134" s="8" t="n">
        <f aca="false">H134*I134*(1-J134)</f>
        <v>246.5</v>
      </c>
      <c r="L134" s="6" t="n">
        <f aca="false">H134*INDEX(Products!$E$2:$E$9,MATCH(E134,Products!$A$2:$A$9,0))</f>
        <v>41</v>
      </c>
      <c r="M134" s="8" t="n">
        <f aca="false">K134-L134</f>
        <v>205.5</v>
      </c>
      <c r="N134" s="2" t="s">
        <v>28</v>
      </c>
      <c r="O134" s="2" t="s">
        <v>62</v>
      </c>
    </row>
    <row r="135" customFormat="false" ht="15" hidden="false" customHeight="false" outlineLevel="0" collapsed="false">
      <c r="A135" s="2" t="s">
        <v>189</v>
      </c>
      <c r="B135" s="3" t="n">
        <v>45713</v>
      </c>
      <c r="C135" s="2" t="s">
        <v>30</v>
      </c>
      <c r="D135" s="2" t="s">
        <v>128</v>
      </c>
      <c r="E135" s="2" t="s">
        <v>61</v>
      </c>
      <c r="F135" s="4" t="str">
        <f aca="false">INDEX(Products!$B$2:$B$9,MATCH(E135,Products!$A$2:$A$9,0))</f>
        <v>Install Service</v>
      </c>
      <c r="G135" s="4" t="str">
        <f aca="false">INDEX(Products!$C$2:$C$9,MATCH(E135,Products!$A$2:$A$9,0))</f>
        <v>Services</v>
      </c>
      <c r="H135" s="5" t="n">
        <v>1</v>
      </c>
      <c r="I135" s="6" t="n">
        <f aca="false">INDEX(Products!$D$2:$D$9,MATCH(E135,Products!$A$2:$A$9,0))</f>
        <v>450</v>
      </c>
      <c r="J135" s="7" t="n">
        <v>0.1</v>
      </c>
      <c r="K135" s="8" t="n">
        <f aca="false">H135*I135*(1-J135)</f>
        <v>405</v>
      </c>
      <c r="L135" s="6" t="n">
        <f aca="false">H135*INDEX(Products!$E$2:$E$9,MATCH(E135,Products!$A$2:$A$9,0))</f>
        <v>310</v>
      </c>
      <c r="M135" s="8" t="n">
        <f aca="false">K135-L135</f>
        <v>95</v>
      </c>
      <c r="N135" s="2" t="s">
        <v>19</v>
      </c>
      <c r="O135" s="2" t="s">
        <v>33</v>
      </c>
    </row>
    <row r="136" customFormat="false" ht="15" hidden="false" customHeight="false" outlineLevel="0" collapsed="false">
      <c r="A136" s="2" t="s">
        <v>190</v>
      </c>
      <c r="B136" s="3" t="n">
        <v>45713</v>
      </c>
      <c r="C136" s="2" t="s">
        <v>16</v>
      </c>
      <c r="D136" s="2" t="s">
        <v>22</v>
      </c>
      <c r="E136" s="2" t="s">
        <v>23</v>
      </c>
      <c r="F136" s="4" t="str">
        <f aca="false">INDEX(Products!$B$2:$B$9,MATCH(E136,Products!$A$2:$A$9,0))</f>
        <v>Sensor Hub S</v>
      </c>
      <c r="G136" s="4" t="str">
        <f aca="false">INDEX(Products!$C$2:$C$9,MATCH(E136,Products!$A$2:$A$9,0))</f>
        <v>Hardware</v>
      </c>
      <c r="H136" s="5" t="n">
        <v>3</v>
      </c>
      <c r="I136" s="6" t="n">
        <f aca="false">INDEX(Products!$D$2:$D$9,MATCH(E136,Products!$A$2:$A$9,0))</f>
        <v>189</v>
      </c>
      <c r="J136" s="7" t="n">
        <v>0.2</v>
      </c>
      <c r="K136" s="8" t="n">
        <f aca="false">H136*I136*(1-J136)</f>
        <v>453.6</v>
      </c>
      <c r="L136" s="6" t="n">
        <f aca="false">H136*INDEX(Products!$E$2:$E$9,MATCH(E136,Products!$A$2:$A$9,0))</f>
        <v>294</v>
      </c>
      <c r="M136" s="8" t="n">
        <f aca="false">K136-L136</f>
        <v>159.6</v>
      </c>
      <c r="N136" s="2" t="s">
        <v>19</v>
      </c>
      <c r="O136" s="2" t="s">
        <v>36</v>
      </c>
    </row>
    <row r="137" customFormat="false" ht="15" hidden="false" customHeight="false" outlineLevel="0" collapsed="false">
      <c r="A137" s="2" t="s">
        <v>191</v>
      </c>
      <c r="B137" s="3" t="n">
        <v>45714</v>
      </c>
      <c r="C137" s="2" t="s">
        <v>47</v>
      </c>
      <c r="D137" s="2" t="s">
        <v>55</v>
      </c>
      <c r="E137" s="2" t="s">
        <v>26</v>
      </c>
      <c r="F137" s="4" t="str">
        <f aca="false">INDEX(Products!$B$2:$B$9,MATCH(E137,Products!$A$2:$A$9,0))</f>
        <v>Analytics Basic</v>
      </c>
      <c r="G137" s="4" t="str">
        <f aca="false">INDEX(Products!$C$2:$C$9,MATCH(E137,Products!$A$2:$A$9,0))</f>
        <v>Software</v>
      </c>
      <c r="H137" s="5" t="n">
        <v>3</v>
      </c>
      <c r="I137" s="6" t="n">
        <f aca="false">INDEX(Products!$D$2:$D$9,MATCH(E137,Products!$A$2:$A$9,0))</f>
        <v>120</v>
      </c>
      <c r="J137" s="7" t="n">
        <v>0</v>
      </c>
      <c r="K137" s="8" t="n">
        <f aca="false">H137*I137*(1-J137)</f>
        <v>360</v>
      </c>
      <c r="L137" s="6" t="n">
        <f aca="false">H137*INDEX(Products!$E$2:$E$9,MATCH(E137,Products!$A$2:$A$9,0))</f>
        <v>54</v>
      </c>
      <c r="M137" s="8" t="n">
        <f aca="false">K137-L137</f>
        <v>306</v>
      </c>
      <c r="N137" s="2" t="s">
        <v>28</v>
      </c>
      <c r="O137" s="2" t="s">
        <v>50</v>
      </c>
    </row>
    <row r="138" customFormat="false" ht="15" hidden="false" customHeight="false" outlineLevel="0" collapsed="false">
      <c r="A138" s="2" t="s">
        <v>192</v>
      </c>
      <c r="B138" s="3" t="n">
        <v>45714</v>
      </c>
      <c r="C138" s="2" t="s">
        <v>47</v>
      </c>
      <c r="D138" s="2" t="s">
        <v>157</v>
      </c>
      <c r="E138" s="2" t="s">
        <v>26</v>
      </c>
      <c r="F138" s="4" t="str">
        <f aca="false">INDEX(Products!$B$2:$B$9,MATCH(E138,Products!$A$2:$A$9,0))</f>
        <v>Analytics Basic</v>
      </c>
      <c r="G138" s="4" t="str">
        <f aca="false">INDEX(Products!$C$2:$C$9,MATCH(E138,Products!$A$2:$A$9,0))</f>
        <v>Software</v>
      </c>
      <c r="H138" s="5" t="n">
        <v>1</v>
      </c>
      <c r="I138" s="6" t="n">
        <f aca="false">INDEX(Products!$D$2:$D$9,MATCH(E138,Products!$A$2:$A$9,0))</f>
        <v>120</v>
      </c>
      <c r="J138" s="7" t="n">
        <v>0.05</v>
      </c>
      <c r="K138" s="8" t="n">
        <f aca="false">H138*I138*(1-J138)</f>
        <v>114</v>
      </c>
      <c r="L138" s="6" t="n">
        <f aca="false">H138*INDEX(Products!$E$2:$E$9,MATCH(E138,Products!$A$2:$A$9,0))</f>
        <v>18</v>
      </c>
      <c r="M138" s="8" t="n">
        <f aca="false">K138-L138</f>
        <v>96</v>
      </c>
      <c r="N138" s="2" t="s">
        <v>28</v>
      </c>
      <c r="O138" s="2" t="s">
        <v>50</v>
      </c>
    </row>
    <row r="139" customFormat="false" ht="15" hidden="false" customHeight="false" outlineLevel="0" collapsed="false">
      <c r="A139" s="2" t="s">
        <v>193</v>
      </c>
      <c r="B139" s="3" t="n">
        <v>45714</v>
      </c>
      <c r="C139" s="2" t="s">
        <v>30</v>
      </c>
      <c r="D139" s="2" t="s">
        <v>128</v>
      </c>
      <c r="E139" s="2" t="s">
        <v>18</v>
      </c>
      <c r="F139" s="4" t="str">
        <f aca="false">INDEX(Products!$B$2:$B$9,MATCH(E139,Products!$A$2:$A$9,0))</f>
        <v>Sensor Hub Pro</v>
      </c>
      <c r="G139" s="4" t="str">
        <f aca="false">INDEX(Products!$C$2:$C$9,MATCH(E139,Products!$A$2:$A$9,0))</f>
        <v>Hardware</v>
      </c>
      <c r="H139" s="5" t="n">
        <v>8</v>
      </c>
      <c r="I139" s="6" t="n">
        <f aca="false">INDEX(Products!$D$2:$D$9,MATCH(E139,Products!$A$2:$A$9,0))</f>
        <v>349</v>
      </c>
      <c r="J139" s="7" t="n">
        <v>0</v>
      </c>
      <c r="K139" s="8" t="n">
        <f aca="false">H139*I139*(1-J139)</f>
        <v>2792</v>
      </c>
      <c r="L139" s="6" t="n">
        <f aca="false">H139*INDEX(Products!$E$2:$E$9,MATCH(E139,Products!$A$2:$A$9,0))</f>
        <v>1608</v>
      </c>
      <c r="M139" s="8" t="n">
        <f aca="false">K139-L139</f>
        <v>1184</v>
      </c>
      <c r="N139" s="2" t="s">
        <v>38</v>
      </c>
      <c r="O139" s="2" t="s">
        <v>33</v>
      </c>
    </row>
    <row r="140" customFormat="false" ht="15" hidden="false" customHeight="false" outlineLevel="0" collapsed="false">
      <c r="A140" s="2" t="s">
        <v>194</v>
      </c>
      <c r="B140" s="3" t="n">
        <v>45714</v>
      </c>
      <c r="C140" s="2" t="s">
        <v>30</v>
      </c>
      <c r="D140" s="2" t="s">
        <v>128</v>
      </c>
      <c r="E140" s="2" t="s">
        <v>26</v>
      </c>
      <c r="F140" s="4" t="str">
        <f aca="false">INDEX(Products!$B$2:$B$9,MATCH(E140,Products!$A$2:$A$9,0))</f>
        <v>Analytics Basic</v>
      </c>
      <c r="G140" s="4" t="str">
        <f aca="false">INDEX(Products!$C$2:$C$9,MATCH(E140,Products!$A$2:$A$9,0))</f>
        <v>Software</v>
      </c>
      <c r="H140" s="5" t="n">
        <v>1</v>
      </c>
      <c r="I140" s="6" t="n">
        <f aca="false">INDEX(Products!$D$2:$D$9,MATCH(E140,Products!$A$2:$A$9,0))</f>
        <v>120</v>
      </c>
      <c r="J140" s="7" t="n">
        <v>0</v>
      </c>
      <c r="K140" s="8" t="n">
        <f aca="false">H140*I140*(1-J140)</f>
        <v>120</v>
      </c>
      <c r="L140" s="6" t="n">
        <f aca="false">H140*INDEX(Products!$E$2:$E$9,MATCH(E140,Products!$A$2:$A$9,0))</f>
        <v>18</v>
      </c>
      <c r="M140" s="8" t="n">
        <f aca="false">K140-L140</f>
        <v>102</v>
      </c>
      <c r="N140" s="2" t="s">
        <v>28</v>
      </c>
      <c r="O140" s="2" t="s">
        <v>33</v>
      </c>
    </row>
    <row r="141" customFormat="false" ht="15" hidden="false" customHeight="false" outlineLevel="0" collapsed="false">
      <c r="A141" s="2" t="s">
        <v>195</v>
      </c>
      <c r="B141" s="3" t="n">
        <v>45715</v>
      </c>
      <c r="C141" s="2" t="s">
        <v>59</v>
      </c>
      <c r="D141" s="2" t="s">
        <v>101</v>
      </c>
      <c r="E141" s="2" t="s">
        <v>68</v>
      </c>
      <c r="F141" s="4" t="str">
        <f aca="false">INDEX(Products!$B$2:$B$9,MATCH(E141,Products!$A$2:$A$9,0))</f>
        <v>Premium Support</v>
      </c>
      <c r="G141" s="4" t="str">
        <f aca="false">INDEX(Products!$C$2:$C$9,MATCH(E141,Products!$A$2:$A$9,0))</f>
        <v>Services</v>
      </c>
      <c r="H141" s="5" t="n">
        <v>1</v>
      </c>
      <c r="I141" s="6" t="n">
        <f aca="false">INDEX(Products!$D$2:$D$9,MATCH(E141,Products!$A$2:$A$9,0))</f>
        <v>600</v>
      </c>
      <c r="J141" s="7" t="n">
        <v>0.05</v>
      </c>
      <c r="K141" s="8" t="n">
        <f aca="false">H141*I141*(1-J141)</f>
        <v>570</v>
      </c>
      <c r="L141" s="6" t="n">
        <f aca="false">H141*INDEX(Products!$E$2:$E$9,MATCH(E141,Products!$A$2:$A$9,0))</f>
        <v>395</v>
      </c>
      <c r="M141" s="8" t="n">
        <f aca="false">K141-L141</f>
        <v>175</v>
      </c>
      <c r="N141" s="2" t="s">
        <v>28</v>
      </c>
      <c r="O141" s="2" t="s">
        <v>62</v>
      </c>
    </row>
    <row r="142" customFormat="false" ht="15" hidden="false" customHeight="false" outlineLevel="0" collapsed="false">
      <c r="A142" s="2" t="s">
        <v>196</v>
      </c>
      <c r="B142" s="3" t="n">
        <v>45715</v>
      </c>
      <c r="C142" s="2" t="s">
        <v>47</v>
      </c>
      <c r="D142" s="2" t="s">
        <v>71</v>
      </c>
      <c r="E142" s="2" t="s">
        <v>26</v>
      </c>
      <c r="F142" s="4" t="str">
        <f aca="false">INDEX(Products!$B$2:$B$9,MATCH(E142,Products!$A$2:$A$9,0))</f>
        <v>Analytics Basic</v>
      </c>
      <c r="G142" s="4" t="str">
        <f aca="false">INDEX(Products!$C$2:$C$9,MATCH(E142,Products!$A$2:$A$9,0))</f>
        <v>Software</v>
      </c>
      <c r="H142" s="5" t="n">
        <v>5</v>
      </c>
      <c r="I142" s="6" t="n">
        <f aca="false">INDEX(Products!$D$2:$D$9,MATCH(E142,Products!$A$2:$A$9,0))</f>
        <v>120</v>
      </c>
      <c r="J142" s="7" t="n">
        <v>0.1</v>
      </c>
      <c r="K142" s="8" t="n">
        <f aca="false">H142*I142*(1-J142)</f>
        <v>540</v>
      </c>
      <c r="L142" s="6" t="n">
        <f aca="false">H142*INDEX(Products!$E$2:$E$9,MATCH(E142,Products!$A$2:$A$9,0))</f>
        <v>90</v>
      </c>
      <c r="M142" s="8" t="n">
        <f aca="false">K142-L142</f>
        <v>450</v>
      </c>
      <c r="N142" s="2" t="s">
        <v>19</v>
      </c>
      <c r="O142" s="2" t="s">
        <v>50</v>
      </c>
    </row>
    <row r="143" customFormat="false" ht="15" hidden="false" customHeight="false" outlineLevel="0" collapsed="false">
      <c r="A143" s="2" t="s">
        <v>197</v>
      </c>
      <c r="B143" s="3" t="n">
        <v>45716</v>
      </c>
      <c r="C143" s="2" t="s">
        <v>16</v>
      </c>
      <c r="D143" s="2" t="s">
        <v>22</v>
      </c>
      <c r="E143" s="2" t="s">
        <v>49</v>
      </c>
      <c r="F143" s="4" t="str">
        <f aca="false">INDEX(Products!$B$2:$B$9,MATCH(E143,Products!$A$2:$A$9,0))</f>
        <v>Mounting Kit</v>
      </c>
      <c r="G143" s="4" t="str">
        <f aca="false">INDEX(Products!$C$2:$C$9,MATCH(E143,Products!$A$2:$A$9,0))</f>
        <v>Accessories</v>
      </c>
      <c r="H143" s="5" t="n">
        <v>10</v>
      </c>
      <c r="I143" s="6" t="n">
        <f aca="false">INDEX(Products!$D$2:$D$9,MATCH(E143,Products!$A$2:$A$9,0))</f>
        <v>39</v>
      </c>
      <c r="J143" s="7" t="n">
        <v>0.05</v>
      </c>
      <c r="K143" s="8" t="n">
        <f aca="false">H143*I143*(1-J143)</f>
        <v>370.5</v>
      </c>
      <c r="L143" s="6" t="n">
        <f aca="false">H143*INDEX(Products!$E$2:$E$9,MATCH(E143,Products!$A$2:$A$9,0))</f>
        <v>315</v>
      </c>
      <c r="M143" s="8" t="n">
        <f aca="false">K143-L143</f>
        <v>55.5</v>
      </c>
      <c r="N143" s="2" t="s">
        <v>28</v>
      </c>
      <c r="O143" s="2" t="s">
        <v>36</v>
      </c>
    </row>
    <row r="144" customFormat="false" ht="15" hidden="false" customHeight="false" outlineLevel="0" collapsed="false">
      <c r="A144" s="2" t="s">
        <v>198</v>
      </c>
      <c r="B144" s="3" t="n">
        <v>45716</v>
      </c>
      <c r="C144" s="2" t="s">
        <v>41</v>
      </c>
      <c r="D144" s="2" t="s">
        <v>42</v>
      </c>
      <c r="E144" s="2" t="s">
        <v>26</v>
      </c>
      <c r="F144" s="4" t="str">
        <f aca="false">INDEX(Products!$B$2:$B$9,MATCH(E144,Products!$A$2:$A$9,0))</f>
        <v>Analytics Basic</v>
      </c>
      <c r="G144" s="4" t="str">
        <f aca="false">INDEX(Products!$C$2:$C$9,MATCH(E144,Products!$A$2:$A$9,0))</f>
        <v>Software</v>
      </c>
      <c r="H144" s="5" t="n">
        <v>5</v>
      </c>
      <c r="I144" s="6" t="n">
        <f aca="false">INDEX(Products!$D$2:$D$9,MATCH(E144,Products!$A$2:$A$9,0))</f>
        <v>120</v>
      </c>
      <c r="J144" s="7" t="n">
        <v>0.05</v>
      </c>
      <c r="K144" s="8" t="n">
        <f aca="false">H144*I144*(1-J144)</f>
        <v>570</v>
      </c>
      <c r="L144" s="6" t="n">
        <f aca="false">H144*INDEX(Products!$E$2:$E$9,MATCH(E144,Products!$A$2:$A$9,0))</f>
        <v>90</v>
      </c>
      <c r="M144" s="8" t="n">
        <f aca="false">K144-L144</f>
        <v>480</v>
      </c>
      <c r="N144" s="2" t="s">
        <v>28</v>
      </c>
      <c r="O144" s="2" t="s">
        <v>43</v>
      </c>
    </row>
    <row r="145" customFormat="false" ht="15" hidden="false" customHeight="false" outlineLevel="0" collapsed="false">
      <c r="A145" s="2" t="s">
        <v>199</v>
      </c>
      <c r="B145" s="3" t="n">
        <v>45716</v>
      </c>
      <c r="C145" s="2" t="s">
        <v>16</v>
      </c>
      <c r="D145" s="2" t="s">
        <v>22</v>
      </c>
      <c r="E145" s="2" t="s">
        <v>23</v>
      </c>
      <c r="F145" s="4" t="str">
        <f aca="false">INDEX(Products!$B$2:$B$9,MATCH(E145,Products!$A$2:$A$9,0))</f>
        <v>Sensor Hub S</v>
      </c>
      <c r="G145" s="4" t="str">
        <f aca="false">INDEX(Products!$C$2:$C$9,MATCH(E145,Products!$A$2:$A$9,0))</f>
        <v>Hardware</v>
      </c>
      <c r="H145" s="5" t="n">
        <v>8</v>
      </c>
      <c r="I145" s="6" t="n">
        <f aca="false">INDEX(Products!$D$2:$D$9,MATCH(E145,Products!$A$2:$A$9,0))</f>
        <v>189</v>
      </c>
      <c r="J145" s="7" t="n">
        <v>0</v>
      </c>
      <c r="K145" s="8" t="n">
        <f aca="false">H145*I145*(1-J145)</f>
        <v>1512</v>
      </c>
      <c r="L145" s="6" t="n">
        <f aca="false">H145*INDEX(Products!$E$2:$E$9,MATCH(E145,Products!$A$2:$A$9,0))</f>
        <v>784</v>
      </c>
      <c r="M145" s="8" t="n">
        <f aca="false">K145-L145</f>
        <v>728</v>
      </c>
      <c r="N145" s="2" t="s">
        <v>28</v>
      </c>
      <c r="O145" s="2" t="s">
        <v>20</v>
      </c>
    </row>
    <row r="146" customFormat="false" ht="15" hidden="false" customHeight="false" outlineLevel="0" collapsed="false">
      <c r="A146" s="2" t="s">
        <v>200</v>
      </c>
      <c r="B146" s="3" t="n">
        <v>45719</v>
      </c>
      <c r="C146" s="2" t="s">
        <v>47</v>
      </c>
      <c r="D146" s="2" t="s">
        <v>55</v>
      </c>
      <c r="E146" s="2" t="s">
        <v>61</v>
      </c>
      <c r="F146" s="4" t="str">
        <f aca="false">INDEX(Products!$B$2:$B$9,MATCH(E146,Products!$A$2:$A$9,0))</f>
        <v>Install Service</v>
      </c>
      <c r="G146" s="4" t="str">
        <f aca="false">INDEX(Products!$C$2:$C$9,MATCH(E146,Products!$A$2:$A$9,0))</f>
        <v>Services</v>
      </c>
      <c r="H146" s="5" t="n">
        <v>1</v>
      </c>
      <c r="I146" s="6" t="n">
        <f aca="false">INDEX(Products!$D$2:$D$9,MATCH(E146,Products!$A$2:$A$9,0))</f>
        <v>450</v>
      </c>
      <c r="J146" s="7" t="n">
        <v>0.1</v>
      </c>
      <c r="K146" s="8" t="n">
        <f aca="false">H146*I146*(1-J146)</f>
        <v>405</v>
      </c>
      <c r="L146" s="6" t="n">
        <f aca="false">H146*INDEX(Products!$E$2:$E$9,MATCH(E146,Products!$A$2:$A$9,0))</f>
        <v>310</v>
      </c>
      <c r="M146" s="8" t="n">
        <f aca="false">K146-L146</f>
        <v>95</v>
      </c>
      <c r="N146" s="2" t="s">
        <v>38</v>
      </c>
      <c r="O146" s="2" t="s">
        <v>50</v>
      </c>
    </row>
    <row r="147" customFormat="false" ht="15" hidden="false" customHeight="false" outlineLevel="0" collapsed="false">
      <c r="A147" s="2" t="s">
        <v>201</v>
      </c>
      <c r="B147" s="3" t="n">
        <v>45719</v>
      </c>
      <c r="C147" s="2" t="s">
        <v>41</v>
      </c>
      <c r="D147" s="2" t="s">
        <v>42</v>
      </c>
      <c r="E147" s="2" t="s">
        <v>49</v>
      </c>
      <c r="F147" s="4" t="str">
        <f aca="false">INDEX(Products!$B$2:$B$9,MATCH(E147,Products!$A$2:$A$9,0))</f>
        <v>Mounting Kit</v>
      </c>
      <c r="G147" s="4" t="str">
        <f aca="false">INDEX(Products!$C$2:$C$9,MATCH(E147,Products!$A$2:$A$9,0))</f>
        <v>Accessories</v>
      </c>
      <c r="H147" s="5" t="n">
        <v>3</v>
      </c>
      <c r="I147" s="6" t="n">
        <f aca="false">INDEX(Products!$D$2:$D$9,MATCH(E147,Products!$A$2:$A$9,0))</f>
        <v>39</v>
      </c>
      <c r="J147" s="7" t="n">
        <v>0</v>
      </c>
      <c r="K147" s="8" t="n">
        <f aca="false">H147*I147*(1-J147)</f>
        <v>117</v>
      </c>
      <c r="L147" s="6" t="n">
        <f aca="false">H147*INDEX(Products!$E$2:$E$9,MATCH(E147,Products!$A$2:$A$9,0))</f>
        <v>94.5</v>
      </c>
      <c r="M147" s="8" t="n">
        <f aca="false">K147-L147</f>
        <v>22.5</v>
      </c>
      <c r="N147" s="2" t="s">
        <v>28</v>
      </c>
      <c r="O147" s="2" t="s">
        <v>52</v>
      </c>
    </row>
    <row r="148" customFormat="false" ht="15" hidden="false" customHeight="false" outlineLevel="0" collapsed="false">
      <c r="A148" s="2" t="s">
        <v>202</v>
      </c>
      <c r="B148" s="3" t="n">
        <v>45720</v>
      </c>
      <c r="C148" s="2" t="s">
        <v>47</v>
      </c>
      <c r="D148" s="2" t="s">
        <v>157</v>
      </c>
      <c r="E148" s="2" t="s">
        <v>49</v>
      </c>
      <c r="F148" s="4" t="str">
        <f aca="false">INDEX(Products!$B$2:$B$9,MATCH(E148,Products!$A$2:$A$9,0))</f>
        <v>Mounting Kit</v>
      </c>
      <c r="G148" s="4" t="str">
        <f aca="false">INDEX(Products!$C$2:$C$9,MATCH(E148,Products!$A$2:$A$9,0))</f>
        <v>Accessories</v>
      </c>
      <c r="H148" s="5" t="n">
        <v>4</v>
      </c>
      <c r="I148" s="6" t="n">
        <f aca="false">INDEX(Products!$D$2:$D$9,MATCH(E148,Products!$A$2:$A$9,0))</f>
        <v>39</v>
      </c>
      <c r="J148" s="7" t="n">
        <v>0.2</v>
      </c>
      <c r="K148" s="8" t="n">
        <f aca="false">H148*I148*(1-J148)</f>
        <v>124.8</v>
      </c>
      <c r="L148" s="6" t="n">
        <f aca="false">H148*INDEX(Products!$E$2:$E$9,MATCH(E148,Products!$A$2:$A$9,0))</f>
        <v>126</v>
      </c>
      <c r="M148" s="8" t="n">
        <f aca="false">K148-L148</f>
        <v>-1.19999999999999</v>
      </c>
      <c r="N148" s="2" t="s">
        <v>19</v>
      </c>
      <c r="O148" s="2" t="s">
        <v>72</v>
      </c>
    </row>
    <row r="149" customFormat="false" ht="15" hidden="false" customHeight="false" outlineLevel="0" collapsed="false">
      <c r="A149" s="2" t="s">
        <v>203</v>
      </c>
      <c r="B149" s="3" t="n">
        <v>45720</v>
      </c>
      <c r="C149" s="2" t="s">
        <v>47</v>
      </c>
      <c r="D149" s="2" t="s">
        <v>71</v>
      </c>
      <c r="E149" s="2" t="s">
        <v>23</v>
      </c>
      <c r="F149" s="4" t="str">
        <f aca="false">INDEX(Products!$B$2:$B$9,MATCH(E149,Products!$A$2:$A$9,0))</f>
        <v>Sensor Hub S</v>
      </c>
      <c r="G149" s="4" t="str">
        <f aca="false">INDEX(Products!$C$2:$C$9,MATCH(E149,Products!$A$2:$A$9,0))</f>
        <v>Hardware</v>
      </c>
      <c r="H149" s="5" t="n">
        <v>1</v>
      </c>
      <c r="I149" s="6" t="n">
        <f aca="false">INDEX(Products!$D$2:$D$9,MATCH(E149,Products!$A$2:$A$9,0))</f>
        <v>189</v>
      </c>
      <c r="J149" s="7" t="n">
        <v>0.15</v>
      </c>
      <c r="K149" s="8" t="n">
        <f aca="false">H149*I149*(1-J149)</f>
        <v>160.65</v>
      </c>
      <c r="L149" s="6" t="n">
        <f aca="false">H149*INDEX(Products!$E$2:$E$9,MATCH(E149,Products!$A$2:$A$9,0))</f>
        <v>98</v>
      </c>
      <c r="M149" s="8" t="n">
        <f aca="false">K149-L149</f>
        <v>62.65</v>
      </c>
      <c r="N149" s="2" t="s">
        <v>38</v>
      </c>
      <c r="O149" s="2" t="s">
        <v>72</v>
      </c>
    </row>
    <row r="150" customFormat="false" ht="15" hidden="false" customHeight="false" outlineLevel="0" collapsed="false">
      <c r="A150" s="2" t="s">
        <v>204</v>
      </c>
      <c r="B150" s="3" t="n">
        <v>45720</v>
      </c>
      <c r="C150" s="2" t="s">
        <v>41</v>
      </c>
      <c r="D150" s="2" t="s">
        <v>66</v>
      </c>
      <c r="E150" s="2" t="s">
        <v>32</v>
      </c>
      <c r="F150" s="4" t="str">
        <f aca="false">INDEX(Products!$B$2:$B$9,MATCH(E150,Products!$A$2:$A$9,0))</f>
        <v>Analytics Plus</v>
      </c>
      <c r="G150" s="4" t="str">
        <f aca="false">INDEX(Products!$C$2:$C$9,MATCH(E150,Products!$A$2:$A$9,0))</f>
        <v>Software</v>
      </c>
      <c r="H150" s="5" t="n">
        <v>3</v>
      </c>
      <c r="I150" s="6" t="n">
        <f aca="false">INDEX(Products!$D$2:$D$9,MATCH(E150,Products!$A$2:$A$9,0))</f>
        <v>290</v>
      </c>
      <c r="J150" s="7" t="n">
        <v>0</v>
      </c>
      <c r="K150" s="8" t="n">
        <f aca="false">H150*I150*(1-J150)</f>
        <v>870</v>
      </c>
      <c r="L150" s="6" t="n">
        <f aca="false">H150*INDEX(Products!$E$2:$E$9,MATCH(E150,Products!$A$2:$A$9,0))</f>
        <v>123</v>
      </c>
      <c r="M150" s="8" t="n">
        <f aca="false">K150-L150</f>
        <v>747</v>
      </c>
      <c r="N150" s="2" t="s">
        <v>38</v>
      </c>
      <c r="O150" s="2" t="s">
        <v>43</v>
      </c>
    </row>
    <row r="151" customFormat="false" ht="15" hidden="false" customHeight="false" outlineLevel="0" collapsed="false">
      <c r="A151" s="2" t="s">
        <v>205</v>
      </c>
      <c r="B151" s="3" t="n">
        <v>45721</v>
      </c>
      <c r="C151" s="2" t="s">
        <v>59</v>
      </c>
      <c r="D151" s="2" t="s">
        <v>60</v>
      </c>
      <c r="E151" s="2" t="s">
        <v>61</v>
      </c>
      <c r="F151" s="4" t="str">
        <f aca="false">INDEX(Products!$B$2:$B$9,MATCH(E151,Products!$A$2:$A$9,0))</f>
        <v>Install Service</v>
      </c>
      <c r="G151" s="4" t="str">
        <f aca="false">INDEX(Products!$C$2:$C$9,MATCH(E151,Products!$A$2:$A$9,0))</f>
        <v>Services</v>
      </c>
      <c r="H151" s="5" t="n">
        <v>1</v>
      </c>
      <c r="I151" s="6" t="n">
        <f aca="false">INDEX(Products!$D$2:$D$9,MATCH(E151,Products!$A$2:$A$9,0))</f>
        <v>450</v>
      </c>
      <c r="J151" s="7" t="n">
        <v>0.15</v>
      </c>
      <c r="K151" s="8" t="n">
        <f aca="false">H151*I151*(1-J151)</f>
        <v>382.5</v>
      </c>
      <c r="L151" s="6" t="n">
        <f aca="false">H151*INDEX(Products!$E$2:$E$9,MATCH(E151,Products!$A$2:$A$9,0))</f>
        <v>310</v>
      </c>
      <c r="M151" s="8" t="n">
        <f aca="false">K151-L151</f>
        <v>72.5</v>
      </c>
      <c r="N151" s="2" t="s">
        <v>28</v>
      </c>
      <c r="O151" s="2" t="s">
        <v>62</v>
      </c>
    </row>
    <row r="152" customFormat="false" ht="15" hidden="false" customHeight="false" outlineLevel="0" collapsed="false">
      <c r="A152" s="2" t="s">
        <v>206</v>
      </c>
      <c r="B152" s="3" t="n">
        <v>45721</v>
      </c>
      <c r="C152" s="2" t="s">
        <v>41</v>
      </c>
      <c r="D152" s="2" t="s">
        <v>42</v>
      </c>
      <c r="E152" s="2" t="s">
        <v>68</v>
      </c>
      <c r="F152" s="4" t="str">
        <f aca="false">INDEX(Products!$B$2:$B$9,MATCH(E152,Products!$A$2:$A$9,0))</f>
        <v>Premium Support</v>
      </c>
      <c r="G152" s="4" t="str">
        <f aca="false">INDEX(Products!$C$2:$C$9,MATCH(E152,Products!$A$2:$A$9,0))</f>
        <v>Services</v>
      </c>
      <c r="H152" s="5" t="n">
        <v>1</v>
      </c>
      <c r="I152" s="6" t="n">
        <f aca="false">INDEX(Products!$D$2:$D$9,MATCH(E152,Products!$A$2:$A$9,0))</f>
        <v>600</v>
      </c>
      <c r="J152" s="7" t="n">
        <v>0</v>
      </c>
      <c r="K152" s="8" t="n">
        <f aca="false">H152*I152*(1-J152)</f>
        <v>600</v>
      </c>
      <c r="L152" s="6" t="n">
        <f aca="false">H152*INDEX(Products!$E$2:$E$9,MATCH(E152,Products!$A$2:$A$9,0))</f>
        <v>395</v>
      </c>
      <c r="M152" s="8" t="n">
        <f aca="false">K152-L152</f>
        <v>205</v>
      </c>
      <c r="N152" s="2" t="s">
        <v>28</v>
      </c>
      <c r="O152" s="2" t="s">
        <v>52</v>
      </c>
    </row>
    <row r="153" customFormat="false" ht="15" hidden="false" customHeight="false" outlineLevel="0" collapsed="false">
      <c r="A153" s="2" t="s">
        <v>207</v>
      </c>
      <c r="B153" s="3" t="n">
        <v>45721</v>
      </c>
      <c r="C153" s="2" t="s">
        <v>30</v>
      </c>
      <c r="D153" s="2" t="s">
        <v>31</v>
      </c>
      <c r="E153" s="2" t="s">
        <v>23</v>
      </c>
      <c r="F153" s="4" t="str">
        <f aca="false">INDEX(Products!$B$2:$B$9,MATCH(E153,Products!$A$2:$A$9,0))</f>
        <v>Sensor Hub S</v>
      </c>
      <c r="G153" s="4" t="str">
        <f aca="false">INDEX(Products!$C$2:$C$9,MATCH(E153,Products!$A$2:$A$9,0))</f>
        <v>Hardware</v>
      </c>
      <c r="H153" s="5" t="n">
        <v>2</v>
      </c>
      <c r="I153" s="6" t="n">
        <f aca="false">INDEX(Products!$D$2:$D$9,MATCH(E153,Products!$A$2:$A$9,0))</f>
        <v>189</v>
      </c>
      <c r="J153" s="7" t="n">
        <v>0.25</v>
      </c>
      <c r="K153" s="8" t="n">
        <f aca="false">H153*I153*(1-J153)</f>
        <v>283.5</v>
      </c>
      <c r="L153" s="6" t="n">
        <f aca="false">H153*INDEX(Products!$E$2:$E$9,MATCH(E153,Products!$A$2:$A$9,0))</f>
        <v>196</v>
      </c>
      <c r="M153" s="8" t="n">
        <f aca="false">K153-L153</f>
        <v>87.5</v>
      </c>
      <c r="N153" s="2" t="s">
        <v>19</v>
      </c>
      <c r="O153" s="2" t="s">
        <v>64</v>
      </c>
    </row>
    <row r="154" customFormat="false" ht="15" hidden="false" customHeight="false" outlineLevel="0" collapsed="false">
      <c r="A154" s="2" t="s">
        <v>208</v>
      </c>
      <c r="B154" s="3" t="n">
        <v>45721</v>
      </c>
      <c r="C154" s="2" t="s">
        <v>41</v>
      </c>
      <c r="D154" s="2" t="s">
        <v>42</v>
      </c>
      <c r="E154" s="2" t="s">
        <v>23</v>
      </c>
      <c r="F154" s="4" t="str">
        <f aca="false">INDEX(Products!$B$2:$B$9,MATCH(E154,Products!$A$2:$A$9,0))</f>
        <v>Sensor Hub S</v>
      </c>
      <c r="G154" s="4" t="str">
        <f aca="false">INDEX(Products!$C$2:$C$9,MATCH(E154,Products!$A$2:$A$9,0))</f>
        <v>Hardware</v>
      </c>
      <c r="H154" s="5" t="n">
        <v>1</v>
      </c>
      <c r="I154" s="6" t="n">
        <f aca="false">INDEX(Products!$D$2:$D$9,MATCH(E154,Products!$A$2:$A$9,0))</f>
        <v>189</v>
      </c>
      <c r="J154" s="7" t="n">
        <v>0.15</v>
      </c>
      <c r="K154" s="8" t="n">
        <f aca="false">H154*I154*(1-J154)</f>
        <v>160.65</v>
      </c>
      <c r="L154" s="6" t="n">
        <f aca="false">H154*INDEX(Products!$E$2:$E$9,MATCH(E154,Products!$A$2:$A$9,0))</f>
        <v>98</v>
      </c>
      <c r="M154" s="8" t="n">
        <f aca="false">K154-L154</f>
        <v>62.65</v>
      </c>
      <c r="N154" s="2" t="s">
        <v>28</v>
      </c>
      <c r="O154" s="2" t="s">
        <v>52</v>
      </c>
    </row>
    <row r="155" customFormat="false" ht="15" hidden="false" customHeight="false" outlineLevel="0" collapsed="false">
      <c r="A155" s="2" t="s">
        <v>209</v>
      </c>
      <c r="B155" s="3" t="n">
        <v>45722</v>
      </c>
      <c r="C155" s="2" t="s">
        <v>16</v>
      </c>
      <c r="D155" s="2" t="s">
        <v>25</v>
      </c>
      <c r="E155" s="2" t="s">
        <v>26</v>
      </c>
      <c r="F155" s="4" t="str">
        <f aca="false">INDEX(Products!$B$2:$B$9,MATCH(E155,Products!$A$2:$A$9,0))</f>
        <v>Analytics Basic</v>
      </c>
      <c r="G155" s="4" t="str">
        <f aca="false">INDEX(Products!$C$2:$C$9,MATCH(E155,Products!$A$2:$A$9,0))</f>
        <v>Software</v>
      </c>
      <c r="H155" s="5" t="n">
        <v>1</v>
      </c>
      <c r="I155" s="6" t="n">
        <f aca="false">INDEX(Products!$D$2:$D$9,MATCH(E155,Products!$A$2:$A$9,0))</f>
        <v>120</v>
      </c>
      <c r="J155" s="7" t="n">
        <v>0.15</v>
      </c>
      <c r="K155" s="8" t="n">
        <f aca="false">H155*I155*(1-J155)</f>
        <v>102</v>
      </c>
      <c r="L155" s="6" t="n">
        <f aca="false">H155*INDEX(Products!$E$2:$E$9,MATCH(E155,Products!$A$2:$A$9,0))</f>
        <v>18</v>
      </c>
      <c r="M155" s="8" t="n">
        <f aca="false">K155-L155</f>
        <v>84</v>
      </c>
      <c r="N155" s="2" t="s">
        <v>19</v>
      </c>
      <c r="O155" s="2" t="s">
        <v>20</v>
      </c>
    </row>
    <row r="156" customFormat="false" ht="15" hidden="false" customHeight="false" outlineLevel="0" collapsed="false">
      <c r="A156" s="2" t="s">
        <v>210</v>
      </c>
      <c r="B156" s="3" t="n">
        <v>45722</v>
      </c>
      <c r="C156" s="2" t="s">
        <v>47</v>
      </c>
      <c r="D156" s="2" t="s">
        <v>55</v>
      </c>
      <c r="E156" s="2" t="s">
        <v>23</v>
      </c>
      <c r="F156" s="4" t="str">
        <f aca="false">INDEX(Products!$B$2:$B$9,MATCH(E156,Products!$A$2:$A$9,0))</f>
        <v>Sensor Hub S</v>
      </c>
      <c r="G156" s="4" t="str">
        <f aca="false">INDEX(Products!$C$2:$C$9,MATCH(E156,Products!$A$2:$A$9,0))</f>
        <v>Hardware</v>
      </c>
      <c r="H156" s="5" t="n">
        <v>10</v>
      </c>
      <c r="I156" s="6" t="n">
        <f aca="false">INDEX(Products!$D$2:$D$9,MATCH(E156,Products!$A$2:$A$9,0))</f>
        <v>189</v>
      </c>
      <c r="J156" s="7" t="n">
        <v>0.05</v>
      </c>
      <c r="K156" s="8" t="n">
        <f aca="false">H156*I156*(1-J156)</f>
        <v>1795.5</v>
      </c>
      <c r="L156" s="6" t="n">
        <f aca="false">H156*INDEX(Products!$E$2:$E$9,MATCH(E156,Products!$A$2:$A$9,0))</f>
        <v>980</v>
      </c>
      <c r="M156" s="8" t="n">
        <f aca="false">K156-L156</f>
        <v>815.5</v>
      </c>
      <c r="N156" s="2" t="s">
        <v>28</v>
      </c>
      <c r="O156" s="2" t="s">
        <v>50</v>
      </c>
    </row>
    <row r="157" customFormat="false" ht="15" hidden="false" customHeight="false" outlineLevel="0" collapsed="false">
      <c r="A157" s="2" t="s">
        <v>211</v>
      </c>
      <c r="B157" s="3" t="n">
        <v>45722</v>
      </c>
      <c r="C157" s="2" t="s">
        <v>47</v>
      </c>
      <c r="D157" s="2" t="s">
        <v>71</v>
      </c>
      <c r="E157" s="2" t="s">
        <v>49</v>
      </c>
      <c r="F157" s="4" t="str">
        <f aca="false">INDEX(Products!$B$2:$B$9,MATCH(E157,Products!$A$2:$A$9,0))</f>
        <v>Mounting Kit</v>
      </c>
      <c r="G157" s="4" t="str">
        <f aca="false">INDEX(Products!$C$2:$C$9,MATCH(E157,Products!$A$2:$A$9,0))</f>
        <v>Accessories</v>
      </c>
      <c r="H157" s="5" t="n">
        <v>1</v>
      </c>
      <c r="I157" s="6" t="n">
        <f aca="false">INDEX(Products!$D$2:$D$9,MATCH(E157,Products!$A$2:$A$9,0))</f>
        <v>39</v>
      </c>
      <c r="J157" s="7" t="n">
        <v>0.15</v>
      </c>
      <c r="K157" s="8" t="n">
        <f aca="false">H157*I157*(1-J157)</f>
        <v>33.15</v>
      </c>
      <c r="L157" s="6" t="n">
        <f aca="false">H157*INDEX(Products!$E$2:$E$9,MATCH(E157,Products!$A$2:$A$9,0))</f>
        <v>31.5</v>
      </c>
      <c r="M157" s="8" t="n">
        <f aca="false">K157-L157</f>
        <v>1.65</v>
      </c>
      <c r="N157" s="2" t="s">
        <v>38</v>
      </c>
      <c r="O157" s="2" t="s">
        <v>50</v>
      </c>
    </row>
    <row r="158" customFormat="false" ht="15" hidden="false" customHeight="false" outlineLevel="0" collapsed="false">
      <c r="A158" s="2" t="s">
        <v>212</v>
      </c>
      <c r="B158" s="3" t="n">
        <v>45722</v>
      </c>
      <c r="C158" s="2" t="s">
        <v>41</v>
      </c>
      <c r="D158" s="2" t="s">
        <v>66</v>
      </c>
      <c r="E158" s="2" t="s">
        <v>26</v>
      </c>
      <c r="F158" s="4" t="str">
        <f aca="false">INDEX(Products!$B$2:$B$9,MATCH(E158,Products!$A$2:$A$9,0))</f>
        <v>Analytics Basic</v>
      </c>
      <c r="G158" s="4" t="str">
        <f aca="false">INDEX(Products!$C$2:$C$9,MATCH(E158,Products!$A$2:$A$9,0))</f>
        <v>Software</v>
      </c>
      <c r="H158" s="5" t="n">
        <v>2</v>
      </c>
      <c r="I158" s="6" t="n">
        <f aca="false">INDEX(Products!$D$2:$D$9,MATCH(E158,Products!$A$2:$A$9,0))</f>
        <v>120</v>
      </c>
      <c r="J158" s="7" t="n">
        <v>0</v>
      </c>
      <c r="K158" s="8" t="n">
        <f aca="false">H158*I158*(1-J158)</f>
        <v>240</v>
      </c>
      <c r="L158" s="6" t="n">
        <f aca="false">H158*INDEX(Products!$E$2:$E$9,MATCH(E158,Products!$A$2:$A$9,0))</f>
        <v>36</v>
      </c>
      <c r="M158" s="8" t="n">
        <f aca="false">K158-L158</f>
        <v>204</v>
      </c>
      <c r="N158" s="2" t="s">
        <v>28</v>
      </c>
      <c r="O158" s="2" t="s">
        <v>43</v>
      </c>
    </row>
    <row r="159" customFormat="false" ht="15" hidden="false" customHeight="false" outlineLevel="0" collapsed="false">
      <c r="A159" s="2" t="s">
        <v>213</v>
      </c>
      <c r="B159" s="3" t="n">
        <v>45723</v>
      </c>
      <c r="C159" s="2" t="s">
        <v>16</v>
      </c>
      <c r="D159" s="2" t="s">
        <v>35</v>
      </c>
      <c r="E159" s="2" t="s">
        <v>18</v>
      </c>
      <c r="F159" s="4" t="str">
        <f aca="false">INDEX(Products!$B$2:$B$9,MATCH(E159,Products!$A$2:$A$9,0))</f>
        <v>Sensor Hub Pro</v>
      </c>
      <c r="G159" s="4" t="str">
        <f aca="false">INDEX(Products!$C$2:$C$9,MATCH(E159,Products!$A$2:$A$9,0))</f>
        <v>Hardware</v>
      </c>
      <c r="H159" s="5" t="n">
        <v>20</v>
      </c>
      <c r="I159" s="6" t="n">
        <f aca="false">INDEX(Products!$D$2:$D$9,MATCH(E159,Products!$A$2:$A$9,0))</f>
        <v>349</v>
      </c>
      <c r="J159" s="7" t="n">
        <v>0.2</v>
      </c>
      <c r="K159" s="8" t="n">
        <f aca="false">H159*I159*(1-J159)</f>
        <v>5584</v>
      </c>
      <c r="L159" s="6" t="n">
        <f aca="false">H159*INDEX(Products!$E$2:$E$9,MATCH(E159,Products!$A$2:$A$9,0))</f>
        <v>4020</v>
      </c>
      <c r="M159" s="8" t="n">
        <f aca="false">K159-L159</f>
        <v>1564</v>
      </c>
      <c r="N159" s="2" t="s">
        <v>19</v>
      </c>
      <c r="O159" s="2" t="s">
        <v>20</v>
      </c>
    </row>
    <row r="160" customFormat="false" ht="15" hidden="false" customHeight="false" outlineLevel="0" collapsed="false">
      <c r="A160" s="2" t="s">
        <v>214</v>
      </c>
      <c r="B160" s="3" t="n">
        <v>45723</v>
      </c>
      <c r="C160" s="2" t="s">
        <v>59</v>
      </c>
      <c r="D160" s="2" t="s">
        <v>101</v>
      </c>
      <c r="E160" s="2" t="s">
        <v>26</v>
      </c>
      <c r="F160" s="4" t="str">
        <f aca="false">INDEX(Products!$B$2:$B$9,MATCH(E160,Products!$A$2:$A$9,0))</f>
        <v>Analytics Basic</v>
      </c>
      <c r="G160" s="4" t="str">
        <f aca="false">INDEX(Products!$C$2:$C$9,MATCH(E160,Products!$A$2:$A$9,0))</f>
        <v>Software</v>
      </c>
      <c r="H160" s="5" t="n">
        <v>2</v>
      </c>
      <c r="I160" s="6" t="n">
        <f aca="false">INDEX(Products!$D$2:$D$9,MATCH(E160,Products!$A$2:$A$9,0))</f>
        <v>120</v>
      </c>
      <c r="J160" s="7" t="n">
        <v>0.15</v>
      </c>
      <c r="K160" s="8" t="n">
        <f aca="false">H160*I160*(1-J160)</f>
        <v>204</v>
      </c>
      <c r="L160" s="6" t="n">
        <f aca="false">H160*INDEX(Products!$E$2:$E$9,MATCH(E160,Products!$A$2:$A$9,0))</f>
        <v>36</v>
      </c>
      <c r="M160" s="8" t="n">
        <f aca="false">K160-L160</f>
        <v>168</v>
      </c>
      <c r="N160" s="2" t="s">
        <v>19</v>
      </c>
      <c r="O160" s="2" t="s">
        <v>62</v>
      </c>
    </row>
    <row r="161" customFormat="false" ht="15" hidden="false" customHeight="false" outlineLevel="0" collapsed="false">
      <c r="A161" s="2" t="s">
        <v>215</v>
      </c>
      <c r="B161" s="3" t="n">
        <v>45723</v>
      </c>
      <c r="C161" s="2" t="s">
        <v>30</v>
      </c>
      <c r="D161" s="2" t="s">
        <v>77</v>
      </c>
      <c r="E161" s="2" t="s">
        <v>32</v>
      </c>
      <c r="F161" s="4" t="str">
        <f aca="false">INDEX(Products!$B$2:$B$9,MATCH(E161,Products!$A$2:$A$9,0))</f>
        <v>Analytics Plus</v>
      </c>
      <c r="G161" s="4" t="str">
        <f aca="false">INDEX(Products!$C$2:$C$9,MATCH(E161,Products!$A$2:$A$9,0))</f>
        <v>Software</v>
      </c>
      <c r="H161" s="5" t="n">
        <v>3</v>
      </c>
      <c r="I161" s="6" t="n">
        <f aca="false">INDEX(Products!$D$2:$D$9,MATCH(E161,Products!$A$2:$A$9,0))</f>
        <v>290</v>
      </c>
      <c r="J161" s="7" t="n">
        <v>0.1</v>
      </c>
      <c r="K161" s="8" t="n">
        <f aca="false">H161*I161*(1-J161)</f>
        <v>783</v>
      </c>
      <c r="L161" s="6" t="n">
        <f aca="false">H161*INDEX(Products!$E$2:$E$9,MATCH(E161,Products!$A$2:$A$9,0))</f>
        <v>123</v>
      </c>
      <c r="M161" s="8" t="n">
        <f aca="false">K161-L161</f>
        <v>660</v>
      </c>
      <c r="N161" s="2" t="s">
        <v>19</v>
      </c>
      <c r="O161" s="2" t="s">
        <v>33</v>
      </c>
    </row>
    <row r="162" customFormat="false" ht="15" hidden="false" customHeight="false" outlineLevel="0" collapsed="false">
      <c r="A162" s="2" t="s">
        <v>216</v>
      </c>
      <c r="B162" s="3" t="n">
        <v>45726</v>
      </c>
      <c r="C162" s="2" t="s">
        <v>47</v>
      </c>
      <c r="D162" s="2" t="s">
        <v>55</v>
      </c>
      <c r="E162" s="2" t="s">
        <v>18</v>
      </c>
      <c r="F162" s="4" t="str">
        <f aca="false">INDEX(Products!$B$2:$B$9,MATCH(E162,Products!$A$2:$A$9,0))</f>
        <v>Sensor Hub Pro</v>
      </c>
      <c r="G162" s="4" t="str">
        <f aca="false">INDEX(Products!$C$2:$C$9,MATCH(E162,Products!$A$2:$A$9,0))</f>
        <v>Hardware</v>
      </c>
      <c r="H162" s="5" t="n">
        <v>2</v>
      </c>
      <c r="I162" s="6" t="n">
        <f aca="false">INDEX(Products!$D$2:$D$9,MATCH(E162,Products!$A$2:$A$9,0))</f>
        <v>349</v>
      </c>
      <c r="J162" s="7" t="n">
        <v>0.15</v>
      </c>
      <c r="K162" s="8" t="n">
        <f aca="false">H162*I162*(1-J162)</f>
        <v>593.3</v>
      </c>
      <c r="L162" s="6" t="n">
        <f aca="false">H162*INDEX(Products!$E$2:$E$9,MATCH(E162,Products!$A$2:$A$9,0))</f>
        <v>402</v>
      </c>
      <c r="M162" s="8" t="n">
        <f aca="false">K162-L162</f>
        <v>191.3</v>
      </c>
      <c r="N162" s="2" t="s">
        <v>19</v>
      </c>
      <c r="O162" s="2" t="s">
        <v>72</v>
      </c>
    </row>
    <row r="163" customFormat="false" ht="15" hidden="false" customHeight="false" outlineLevel="0" collapsed="false">
      <c r="A163" s="2" t="s">
        <v>217</v>
      </c>
      <c r="B163" s="3" t="n">
        <v>45726</v>
      </c>
      <c r="C163" s="2" t="s">
        <v>30</v>
      </c>
      <c r="D163" s="2" t="s">
        <v>31</v>
      </c>
      <c r="E163" s="2" t="s">
        <v>23</v>
      </c>
      <c r="F163" s="4" t="str">
        <f aca="false">INDEX(Products!$B$2:$B$9,MATCH(E163,Products!$A$2:$A$9,0))</f>
        <v>Sensor Hub S</v>
      </c>
      <c r="G163" s="4" t="str">
        <f aca="false">INDEX(Products!$C$2:$C$9,MATCH(E163,Products!$A$2:$A$9,0))</f>
        <v>Hardware</v>
      </c>
      <c r="H163" s="5" t="n">
        <v>1</v>
      </c>
      <c r="I163" s="6" t="n">
        <f aca="false">INDEX(Products!$D$2:$D$9,MATCH(E163,Products!$A$2:$A$9,0))</f>
        <v>189</v>
      </c>
      <c r="J163" s="7" t="n">
        <v>0.1</v>
      </c>
      <c r="K163" s="8" t="n">
        <f aca="false">H163*I163*(1-J163)</f>
        <v>170.1</v>
      </c>
      <c r="L163" s="6" t="n">
        <f aca="false">H163*INDEX(Products!$E$2:$E$9,MATCH(E163,Products!$A$2:$A$9,0))</f>
        <v>98</v>
      </c>
      <c r="M163" s="8" t="n">
        <f aca="false">K163-L163</f>
        <v>72.1</v>
      </c>
      <c r="N163" s="2" t="s">
        <v>19</v>
      </c>
      <c r="O163" s="2" t="s">
        <v>64</v>
      </c>
    </row>
    <row r="164" customFormat="false" ht="15" hidden="false" customHeight="false" outlineLevel="0" collapsed="false">
      <c r="A164" s="2" t="s">
        <v>218</v>
      </c>
      <c r="B164" s="3" t="n">
        <v>45726</v>
      </c>
      <c r="C164" s="2" t="s">
        <v>41</v>
      </c>
      <c r="D164" s="2" t="s">
        <v>66</v>
      </c>
      <c r="E164" s="2" t="s">
        <v>26</v>
      </c>
      <c r="F164" s="4" t="str">
        <f aca="false">INDEX(Products!$B$2:$B$9,MATCH(E164,Products!$A$2:$A$9,0))</f>
        <v>Analytics Basic</v>
      </c>
      <c r="G164" s="4" t="str">
        <f aca="false">INDEX(Products!$C$2:$C$9,MATCH(E164,Products!$A$2:$A$9,0))</f>
        <v>Software</v>
      </c>
      <c r="H164" s="5" t="n">
        <v>1</v>
      </c>
      <c r="I164" s="6" t="n">
        <f aca="false">INDEX(Products!$D$2:$D$9,MATCH(E164,Products!$A$2:$A$9,0))</f>
        <v>120</v>
      </c>
      <c r="J164" s="7" t="n">
        <v>0.15</v>
      </c>
      <c r="K164" s="8" t="n">
        <f aca="false">H164*I164*(1-J164)</f>
        <v>102</v>
      </c>
      <c r="L164" s="6" t="n">
        <f aca="false">H164*INDEX(Products!$E$2:$E$9,MATCH(E164,Products!$A$2:$A$9,0))</f>
        <v>18</v>
      </c>
      <c r="M164" s="8" t="n">
        <f aca="false">K164-L164</f>
        <v>84</v>
      </c>
      <c r="N164" s="2" t="s">
        <v>19</v>
      </c>
      <c r="O164" s="2" t="s">
        <v>52</v>
      </c>
    </row>
    <row r="165" customFormat="false" ht="15" hidden="false" customHeight="false" outlineLevel="0" collapsed="false">
      <c r="A165" s="2" t="s">
        <v>219</v>
      </c>
      <c r="B165" s="3" t="n">
        <v>45727</v>
      </c>
      <c r="C165" s="2" t="s">
        <v>30</v>
      </c>
      <c r="D165" s="2" t="s">
        <v>31</v>
      </c>
      <c r="E165" s="2" t="s">
        <v>61</v>
      </c>
      <c r="F165" s="4" t="str">
        <f aca="false">INDEX(Products!$B$2:$B$9,MATCH(E165,Products!$A$2:$A$9,0))</f>
        <v>Install Service</v>
      </c>
      <c r="G165" s="4" t="str">
        <f aca="false">INDEX(Products!$C$2:$C$9,MATCH(E165,Products!$A$2:$A$9,0))</f>
        <v>Services</v>
      </c>
      <c r="H165" s="5" t="n">
        <v>1</v>
      </c>
      <c r="I165" s="6" t="n">
        <f aca="false">INDEX(Products!$D$2:$D$9,MATCH(E165,Products!$A$2:$A$9,0))</f>
        <v>450</v>
      </c>
      <c r="J165" s="7" t="n">
        <v>0.1</v>
      </c>
      <c r="K165" s="8" t="n">
        <f aca="false">H165*I165*(1-J165)</f>
        <v>405</v>
      </c>
      <c r="L165" s="6" t="n">
        <f aca="false">H165*INDEX(Products!$E$2:$E$9,MATCH(E165,Products!$A$2:$A$9,0))</f>
        <v>310</v>
      </c>
      <c r="M165" s="8" t="n">
        <f aca="false">K165-L165</f>
        <v>95</v>
      </c>
      <c r="N165" s="2" t="s">
        <v>19</v>
      </c>
      <c r="O165" s="2" t="s">
        <v>64</v>
      </c>
    </row>
    <row r="166" customFormat="false" ht="15" hidden="false" customHeight="false" outlineLevel="0" collapsed="false">
      <c r="A166" s="2" t="s">
        <v>220</v>
      </c>
      <c r="B166" s="3" t="n">
        <v>45727</v>
      </c>
      <c r="C166" s="2" t="s">
        <v>16</v>
      </c>
      <c r="D166" s="2" t="s">
        <v>35</v>
      </c>
      <c r="E166" s="2" t="s">
        <v>26</v>
      </c>
      <c r="F166" s="4" t="str">
        <f aca="false">INDEX(Products!$B$2:$B$9,MATCH(E166,Products!$A$2:$A$9,0))</f>
        <v>Analytics Basic</v>
      </c>
      <c r="G166" s="4" t="str">
        <f aca="false">INDEX(Products!$C$2:$C$9,MATCH(E166,Products!$A$2:$A$9,0))</f>
        <v>Software</v>
      </c>
      <c r="H166" s="5" t="n">
        <v>1</v>
      </c>
      <c r="I166" s="6" t="n">
        <f aca="false">INDEX(Products!$D$2:$D$9,MATCH(E166,Products!$A$2:$A$9,0))</f>
        <v>120</v>
      </c>
      <c r="J166" s="7" t="n">
        <v>0.05</v>
      </c>
      <c r="K166" s="8" t="n">
        <f aca="false">H166*I166*(1-J166)</f>
        <v>114</v>
      </c>
      <c r="L166" s="6" t="n">
        <f aca="false">H166*INDEX(Products!$E$2:$E$9,MATCH(E166,Products!$A$2:$A$9,0))</f>
        <v>18</v>
      </c>
      <c r="M166" s="8" t="n">
        <f aca="false">K166-L166</f>
        <v>96</v>
      </c>
      <c r="N166" s="2" t="s">
        <v>28</v>
      </c>
      <c r="O166" s="2" t="s">
        <v>36</v>
      </c>
    </row>
    <row r="167" customFormat="false" ht="15" hidden="false" customHeight="false" outlineLevel="0" collapsed="false">
      <c r="A167" s="2" t="s">
        <v>221</v>
      </c>
      <c r="B167" s="3" t="n">
        <v>45727</v>
      </c>
      <c r="C167" s="2" t="s">
        <v>41</v>
      </c>
      <c r="D167" s="2" t="s">
        <v>42</v>
      </c>
      <c r="E167" s="2" t="s">
        <v>26</v>
      </c>
      <c r="F167" s="4" t="str">
        <f aca="false">INDEX(Products!$B$2:$B$9,MATCH(E167,Products!$A$2:$A$9,0))</f>
        <v>Analytics Basic</v>
      </c>
      <c r="G167" s="4" t="str">
        <f aca="false">INDEX(Products!$C$2:$C$9,MATCH(E167,Products!$A$2:$A$9,0))</f>
        <v>Software</v>
      </c>
      <c r="H167" s="5" t="n">
        <v>2</v>
      </c>
      <c r="I167" s="6" t="n">
        <f aca="false">INDEX(Products!$D$2:$D$9,MATCH(E167,Products!$A$2:$A$9,0))</f>
        <v>120</v>
      </c>
      <c r="J167" s="7" t="n">
        <v>0.25</v>
      </c>
      <c r="K167" s="8" t="n">
        <f aca="false">H167*I167*(1-J167)</f>
        <v>180</v>
      </c>
      <c r="L167" s="6" t="n">
        <f aca="false">H167*INDEX(Products!$E$2:$E$9,MATCH(E167,Products!$A$2:$A$9,0))</f>
        <v>36</v>
      </c>
      <c r="M167" s="8" t="n">
        <f aca="false">K167-L167</f>
        <v>144</v>
      </c>
      <c r="N167" s="2" t="s">
        <v>19</v>
      </c>
      <c r="O167" s="2" t="s">
        <v>52</v>
      </c>
    </row>
    <row r="168" customFormat="false" ht="15" hidden="false" customHeight="false" outlineLevel="0" collapsed="false">
      <c r="A168" s="2" t="s">
        <v>222</v>
      </c>
      <c r="B168" s="3" t="n">
        <v>45728</v>
      </c>
      <c r="C168" s="2" t="s">
        <v>41</v>
      </c>
      <c r="D168" s="2" t="s">
        <v>42</v>
      </c>
      <c r="E168" s="2" t="s">
        <v>49</v>
      </c>
      <c r="F168" s="4" t="str">
        <f aca="false">INDEX(Products!$B$2:$B$9,MATCH(E168,Products!$A$2:$A$9,0))</f>
        <v>Mounting Kit</v>
      </c>
      <c r="G168" s="4" t="str">
        <f aca="false">INDEX(Products!$C$2:$C$9,MATCH(E168,Products!$A$2:$A$9,0))</f>
        <v>Accessories</v>
      </c>
      <c r="H168" s="5" t="n">
        <v>4</v>
      </c>
      <c r="I168" s="6" t="n">
        <f aca="false">INDEX(Products!$D$2:$D$9,MATCH(E168,Products!$A$2:$A$9,0))</f>
        <v>39</v>
      </c>
      <c r="J168" s="7" t="n">
        <v>0.15</v>
      </c>
      <c r="K168" s="8" t="n">
        <f aca="false">H168*I168*(1-J168)</f>
        <v>132.6</v>
      </c>
      <c r="L168" s="6" t="n">
        <f aca="false">H168*INDEX(Products!$E$2:$E$9,MATCH(E168,Products!$A$2:$A$9,0))</f>
        <v>126</v>
      </c>
      <c r="M168" s="8" t="n">
        <f aca="false">K168-L168</f>
        <v>6.59999999999999</v>
      </c>
      <c r="N168" s="2" t="s">
        <v>28</v>
      </c>
      <c r="O168" s="2" t="s">
        <v>52</v>
      </c>
    </row>
    <row r="169" customFormat="false" ht="15" hidden="false" customHeight="false" outlineLevel="0" collapsed="false">
      <c r="A169" s="2" t="s">
        <v>223</v>
      </c>
      <c r="B169" s="3" t="n">
        <v>45728</v>
      </c>
      <c r="C169" s="2" t="s">
        <v>16</v>
      </c>
      <c r="D169" s="2" t="s">
        <v>22</v>
      </c>
      <c r="E169" s="2" t="s">
        <v>61</v>
      </c>
      <c r="F169" s="4" t="str">
        <f aca="false">INDEX(Products!$B$2:$B$9,MATCH(E169,Products!$A$2:$A$9,0))</f>
        <v>Install Service</v>
      </c>
      <c r="G169" s="4" t="str">
        <f aca="false">INDEX(Products!$C$2:$C$9,MATCH(E169,Products!$A$2:$A$9,0))</f>
        <v>Services</v>
      </c>
      <c r="H169" s="5" t="n">
        <v>1</v>
      </c>
      <c r="I169" s="6" t="n">
        <f aca="false">INDEX(Products!$D$2:$D$9,MATCH(E169,Products!$A$2:$A$9,0))</f>
        <v>450</v>
      </c>
      <c r="J169" s="7" t="n">
        <v>0.05</v>
      </c>
      <c r="K169" s="8" t="n">
        <f aca="false">H169*I169*(1-J169)</f>
        <v>427.5</v>
      </c>
      <c r="L169" s="6" t="n">
        <f aca="false">H169*INDEX(Products!$E$2:$E$9,MATCH(E169,Products!$A$2:$A$9,0))</f>
        <v>310</v>
      </c>
      <c r="M169" s="8" t="n">
        <f aca="false">K169-L169</f>
        <v>117.5</v>
      </c>
      <c r="N169" s="2" t="s">
        <v>28</v>
      </c>
      <c r="O169" s="2" t="s">
        <v>20</v>
      </c>
    </row>
    <row r="170" customFormat="false" ht="15" hidden="false" customHeight="false" outlineLevel="0" collapsed="false">
      <c r="A170" s="2" t="s">
        <v>224</v>
      </c>
      <c r="B170" s="3" t="n">
        <v>45728</v>
      </c>
      <c r="C170" s="2" t="s">
        <v>47</v>
      </c>
      <c r="D170" s="2" t="s">
        <v>55</v>
      </c>
      <c r="E170" s="2" t="s">
        <v>57</v>
      </c>
      <c r="F170" s="4" t="str">
        <f aca="false">INDEX(Products!$B$2:$B$9,MATCH(E170,Products!$A$2:$A$9,0))</f>
        <v>Edge Gateway</v>
      </c>
      <c r="G170" s="4" t="str">
        <f aca="false">INDEX(Products!$C$2:$C$9,MATCH(E170,Products!$A$2:$A$9,0))</f>
        <v>Hardware</v>
      </c>
      <c r="H170" s="5" t="n">
        <v>4</v>
      </c>
      <c r="I170" s="6" t="n">
        <f aca="false">INDEX(Products!$D$2:$D$9,MATCH(E170,Products!$A$2:$A$9,0))</f>
        <v>899</v>
      </c>
      <c r="J170" s="7" t="n">
        <v>0</v>
      </c>
      <c r="K170" s="8" t="n">
        <f aca="false">H170*I170*(1-J170)</f>
        <v>3596</v>
      </c>
      <c r="L170" s="6" t="n">
        <f aca="false">H170*INDEX(Products!$E$2:$E$9,MATCH(E170,Products!$A$2:$A$9,0))</f>
        <v>2448</v>
      </c>
      <c r="M170" s="8" t="n">
        <f aca="false">K170-L170</f>
        <v>1148</v>
      </c>
      <c r="N170" s="2" t="s">
        <v>28</v>
      </c>
      <c r="O170" s="2" t="s">
        <v>72</v>
      </c>
    </row>
    <row r="171" customFormat="false" ht="15" hidden="false" customHeight="false" outlineLevel="0" collapsed="false">
      <c r="A171" s="2" t="s">
        <v>225</v>
      </c>
      <c r="B171" s="3" t="n">
        <v>45728</v>
      </c>
      <c r="C171" s="2" t="s">
        <v>16</v>
      </c>
      <c r="D171" s="2" t="s">
        <v>25</v>
      </c>
      <c r="E171" s="2" t="s">
        <v>61</v>
      </c>
      <c r="F171" s="4" t="str">
        <f aca="false">INDEX(Products!$B$2:$B$9,MATCH(E171,Products!$A$2:$A$9,0))</f>
        <v>Install Service</v>
      </c>
      <c r="G171" s="4" t="str">
        <f aca="false">INDEX(Products!$C$2:$C$9,MATCH(E171,Products!$A$2:$A$9,0))</f>
        <v>Services</v>
      </c>
      <c r="H171" s="5" t="n">
        <v>1</v>
      </c>
      <c r="I171" s="6" t="n">
        <f aca="false">INDEX(Products!$D$2:$D$9,MATCH(E171,Products!$A$2:$A$9,0))</f>
        <v>450</v>
      </c>
      <c r="J171" s="7" t="n">
        <v>0.1</v>
      </c>
      <c r="K171" s="8" t="n">
        <f aca="false">H171*I171*(1-J171)</f>
        <v>405</v>
      </c>
      <c r="L171" s="6" t="n">
        <f aca="false">H171*INDEX(Products!$E$2:$E$9,MATCH(E171,Products!$A$2:$A$9,0))</f>
        <v>310</v>
      </c>
      <c r="M171" s="8" t="n">
        <f aca="false">K171-L171</f>
        <v>95</v>
      </c>
      <c r="N171" s="2" t="s">
        <v>19</v>
      </c>
      <c r="O171" s="2" t="s">
        <v>20</v>
      </c>
    </row>
    <row r="172" customFormat="false" ht="15" hidden="false" customHeight="false" outlineLevel="0" collapsed="false">
      <c r="A172" s="2" t="s">
        <v>226</v>
      </c>
      <c r="B172" s="3" t="n">
        <v>45729</v>
      </c>
      <c r="C172" s="2" t="s">
        <v>47</v>
      </c>
      <c r="D172" s="2" t="s">
        <v>55</v>
      </c>
      <c r="E172" s="2" t="s">
        <v>26</v>
      </c>
      <c r="F172" s="4" t="str">
        <f aca="false">INDEX(Products!$B$2:$B$9,MATCH(E172,Products!$A$2:$A$9,0))</f>
        <v>Analytics Basic</v>
      </c>
      <c r="G172" s="4" t="str">
        <f aca="false">INDEX(Products!$C$2:$C$9,MATCH(E172,Products!$A$2:$A$9,0))</f>
        <v>Software</v>
      </c>
      <c r="H172" s="5" t="n">
        <v>1</v>
      </c>
      <c r="I172" s="6" t="n">
        <f aca="false">INDEX(Products!$D$2:$D$9,MATCH(E172,Products!$A$2:$A$9,0))</f>
        <v>120</v>
      </c>
      <c r="J172" s="7" t="n">
        <v>0.05</v>
      </c>
      <c r="K172" s="8" t="n">
        <f aca="false">H172*I172*(1-J172)</f>
        <v>114</v>
      </c>
      <c r="L172" s="6" t="n">
        <f aca="false">H172*INDEX(Products!$E$2:$E$9,MATCH(E172,Products!$A$2:$A$9,0))</f>
        <v>18</v>
      </c>
      <c r="M172" s="8" t="n">
        <f aca="false">K172-L172</f>
        <v>96</v>
      </c>
      <c r="N172" s="2" t="s">
        <v>28</v>
      </c>
      <c r="O172" s="2" t="s">
        <v>50</v>
      </c>
    </row>
    <row r="173" customFormat="false" ht="15" hidden="false" customHeight="false" outlineLevel="0" collapsed="false">
      <c r="A173" s="2" t="s">
        <v>227</v>
      </c>
      <c r="B173" s="3" t="n">
        <v>45729</v>
      </c>
      <c r="C173" s="2" t="s">
        <v>47</v>
      </c>
      <c r="D173" s="2" t="s">
        <v>157</v>
      </c>
      <c r="E173" s="2" t="s">
        <v>18</v>
      </c>
      <c r="F173" s="4" t="str">
        <f aca="false">INDEX(Products!$B$2:$B$9,MATCH(E173,Products!$A$2:$A$9,0))</f>
        <v>Sensor Hub Pro</v>
      </c>
      <c r="G173" s="4" t="str">
        <f aca="false">INDEX(Products!$C$2:$C$9,MATCH(E173,Products!$A$2:$A$9,0))</f>
        <v>Hardware</v>
      </c>
      <c r="H173" s="5" t="n">
        <v>20</v>
      </c>
      <c r="I173" s="6" t="n">
        <f aca="false">INDEX(Products!$D$2:$D$9,MATCH(E173,Products!$A$2:$A$9,0))</f>
        <v>349</v>
      </c>
      <c r="J173" s="7" t="n">
        <v>0.15</v>
      </c>
      <c r="K173" s="8" t="n">
        <f aca="false">H173*I173*(1-J173)</f>
        <v>5933</v>
      </c>
      <c r="L173" s="6" t="n">
        <f aca="false">H173*INDEX(Products!$E$2:$E$9,MATCH(E173,Products!$A$2:$A$9,0))</f>
        <v>4020</v>
      </c>
      <c r="M173" s="8" t="n">
        <f aca="false">K173-L173</f>
        <v>1913</v>
      </c>
      <c r="N173" s="2" t="s">
        <v>19</v>
      </c>
      <c r="O173" s="2" t="s">
        <v>72</v>
      </c>
    </row>
    <row r="174" customFormat="false" ht="15" hidden="false" customHeight="false" outlineLevel="0" collapsed="false">
      <c r="A174" s="2" t="s">
        <v>228</v>
      </c>
      <c r="B174" s="3" t="n">
        <v>45729</v>
      </c>
      <c r="C174" s="2" t="s">
        <v>16</v>
      </c>
      <c r="D174" s="2" t="s">
        <v>22</v>
      </c>
      <c r="E174" s="2" t="s">
        <v>49</v>
      </c>
      <c r="F174" s="4" t="str">
        <f aca="false">INDEX(Products!$B$2:$B$9,MATCH(E174,Products!$A$2:$A$9,0))</f>
        <v>Mounting Kit</v>
      </c>
      <c r="G174" s="4" t="str">
        <f aca="false">INDEX(Products!$C$2:$C$9,MATCH(E174,Products!$A$2:$A$9,0))</f>
        <v>Accessories</v>
      </c>
      <c r="H174" s="5" t="n">
        <v>1</v>
      </c>
      <c r="I174" s="6" t="n">
        <f aca="false">INDEX(Products!$D$2:$D$9,MATCH(E174,Products!$A$2:$A$9,0))</f>
        <v>39</v>
      </c>
      <c r="J174" s="7" t="n">
        <v>0</v>
      </c>
      <c r="K174" s="8" t="n">
        <f aca="false">H174*I174*(1-J174)</f>
        <v>39</v>
      </c>
      <c r="L174" s="6" t="n">
        <f aca="false">H174*INDEX(Products!$E$2:$E$9,MATCH(E174,Products!$A$2:$A$9,0))</f>
        <v>31.5</v>
      </c>
      <c r="M174" s="8" t="n">
        <f aca="false">K174-L174</f>
        <v>7.5</v>
      </c>
      <c r="N174" s="2" t="s">
        <v>28</v>
      </c>
      <c r="O174" s="2" t="s">
        <v>36</v>
      </c>
    </row>
    <row r="175" customFormat="false" ht="15" hidden="false" customHeight="false" outlineLevel="0" collapsed="false">
      <c r="A175" s="2" t="s">
        <v>229</v>
      </c>
      <c r="B175" s="3" t="n">
        <v>45729</v>
      </c>
      <c r="C175" s="2" t="s">
        <v>41</v>
      </c>
      <c r="D175" s="2" t="s">
        <v>66</v>
      </c>
      <c r="E175" s="2" t="s">
        <v>18</v>
      </c>
      <c r="F175" s="4" t="str">
        <f aca="false">INDEX(Products!$B$2:$B$9,MATCH(E175,Products!$A$2:$A$9,0))</f>
        <v>Sensor Hub Pro</v>
      </c>
      <c r="G175" s="4" t="str">
        <f aca="false">INDEX(Products!$C$2:$C$9,MATCH(E175,Products!$A$2:$A$9,0))</f>
        <v>Hardware</v>
      </c>
      <c r="H175" s="5" t="n">
        <v>1</v>
      </c>
      <c r="I175" s="6" t="n">
        <f aca="false">INDEX(Products!$D$2:$D$9,MATCH(E175,Products!$A$2:$A$9,0))</f>
        <v>349</v>
      </c>
      <c r="J175" s="7" t="n">
        <v>0.1</v>
      </c>
      <c r="K175" s="8" t="n">
        <f aca="false">H175*I175*(1-J175)</f>
        <v>314.1</v>
      </c>
      <c r="L175" s="6" t="n">
        <f aca="false">H175*INDEX(Products!$E$2:$E$9,MATCH(E175,Products!$A$2:$A$9,0))</f>
        <v>201</v>
      </c>
      <c r="M175" s="8" t="n">
        <f aca="false">K175-L175</f>
        <v>113.1</v>
      </c>
      <c r="N175" s="2" t="s">
        <v>28</v>
      </c>
      <c r="O175" s="2" t="s">
        <v>43</v>
      </c>
    </row>
    <row r="176" customFormat="false" ht="15" hidden="false" customHeight="false" outlineLevel="0" collapsed="false">
      <c r="A176" s="2" t="s">
        <v>230</v>
      </c>
      <c r="B176" s="3" t="n">
        <v>45730</v>
      </c>
      <c r="C176" s="2" t="s">
        <v>16</v>
      </c>
      <c r="D176" s="2" t="s">
        <v>25</v>
      </c>
      <c r="E176" s="2" t="s">
        <v>26</v>
      </c>
      <c r="F176" s="4" t="str">
        <f aca="false">INDEX(Products!$B$2:$B$9,MATCH(E176,Products!$A$2:$A$9,0))</f>
        <v>Analytics Basic</v>
      </c>
      <c r="G176" s="4" t="str">
        <f aca="false">INDEX(Products!$C$2:$C$9,MATCH(E176,Products!$A$2:$A$9,0))</f>
        <v>Software</v>
      </c>
      <c r="H176" s="5" t="n">
        <v>5</v>
      </c>
      <c r="I176" s="6" t="n">
        <f aca="false">INDEX(Products!$D$2:$D$9,MATCH(E176,Products!$A$2:$A$9,0))</f>
        <v>120</v>
      </c>
      <c r="J176" s="7" t="n">
        <v>0.1</v>
      </c>
      <c r="K176" s="8" t="n">
        <f aca="false">H176*I176*(1-J176)</f>
        <v>540</v>
      </c>
      <c r="L176" s="6" t="n">
        <f aca="false">H176*INDEX(Products!$E$2:$E$9,MATCH(E176,Products!$A$2:$A$9,0))</f>
        <v>90</v>
      </c>
      <c r="M176" s="8" t="n">
        <f aca="false">K176-L176</f>
        <v>450</v>
      </c>
      <c r="N176" s="2" t="s">
        <v>19</v>
      </c>
      <c r="O176" s="2" t="s">
        <v>36</v>
      </c>
    </row>
    <row r="177" customFormat="false" ht="15" hidden="false" customHeight="false" outlineLevel="0" collapsed="false">
      <c r="A177" s="2" t="s">
        <v>231</v>
      </c>
      <c r="B177" s="3" t="n">
        <v>45730</v>
      </c>
      <c r="C177" s="2" t="s">
        <v>47</v>
      </c>
      <c r="D177" s="2" t="s">
        <v>71</v>
      </c>
      <c r="E177" s="2" t="s">
        <v>26</v>
      </c>
      <c r="F177" s="4" t="str">
        <f aca="false">INDEX(Products!$B$2:$B$9,MATCH(E177,Products!$A$2:$A$9,0))</f>
        <v>Analytics Basic</v>
      </c>
      <c r="G177" s="4" t="str">
        <f aca="false">INDEX(Products!$C$2:$C$9,MATCH(E177,Products!$A$2:$A$9,0))</f>
        <v>Software</v>
      </c>
      <c r="H177" s="5" t="n">
        <v>1</v>
      </c>
      <c r="I177" s="6" t="n">
        <f aca="false">INDEX(Products!$D$2:$D$9,MATCH(E177,Products!$A$2:$A$9,0))</f>
        <v>120</v>
      </c>
      <c r="J177" s="7" t="n">
        <v>0.05</v>
      </c>
      <c r="K177" s="8" t="n">
        <f aca="false">H177*I177*(1-J177)</f>
        <v>114</v>
      </c>
      <c r="L177" s="6" t="n">
        <f aca="false">H177*INDEX(Products!$E$2:$E$9,MATCH(E177,Products!$A$2:$A$9,0))</f>
        <v>18</v>
      </c>
      <c r="M177" s="8" t="n">
        <f aca="false">K177-L177</f>
        <v>96</v>
      </c>
      <c r="N177" s="2" t="s">
        <v>38</v>
      </c>
      <c r="O177" s="2" t="s">
        <v>50</v>
      </c>
    </row>
    <row r="178" customFormat="false" ht="15" hidden="false" customHeight="false" outlineLevel="0" collapsed="false">
      <c r="A178" s="2" t="s">
        <v>232</v>
      </c>
      <c r="B178" s="3" t="n">
        <v>45730</v>
      </c>
      <c r="C178" s="2" t="s">
        <v>41</v>
      </c>
      <c r="D178" s="2" t="s">
        <v>42</v>
      </c>
      <c r="E178" s="2" t="s">
        <v>26</v>
      </c>
      <c r="F178" s="4" t="str">
        <f aca="false">INDEX(Products!$B$2:$B$9,MATCH(E178,Products!$A$2:$A$9,0))</f>
        <v>Analytics Basic</v>
      </c>
      <c r="G178" s="4" t="str">
        <f aca="false">INDEX(Products!$C$2:$C$9,MATCH(E178,Products!$A$2:$A$9,0))</f>
        <v>Software</v>
      </c>
      <c r="H178" s="5" t="n">
        <v>1</v>
      </c>
      <c r="I178" s="6" t="n">
        <f aca="false">INDEX(Products!$D$2:$D$9,MATCH(E178,Products!$A$2:$A$9,0))</f>
        <v>120</v>
      </c>
      <c r="J178" s="7" t="n">
        <v>0</v>
      </c>
      <c r="K178" s="8" t="n">
        <f aca="false">H178*I178*(1-J178)</f>
        <v>120</v>
      </c>
      <c r="L178" s="6" t="n">
        <f aca="false">H178*INDEX(Products!$E$2:$E$9,MATCH(E178,Products!$A$2:$A$9,0))</f>
        <v>18</v>
      </c>
      <c r="M178" s="8" t="n">
        <f aca="false">K178-L178</f>
        <v>102</v>
      </c>
      <c r="N178" s="2" t="s">
        <v>28</v>
      </c>
      <c r="O178" s="2" t="s">
        <v>52</v>
      </c>
    </row>
    <row r="179" customFormat="false" ht="15" hidden="false" customHeight="false" outlineLevel="0" collapsed="false">
      <c r="A179" s="2" t="s">
        <v>233</v>
      </c>
      <c r="B179" s="3" t="n">
        <v>45730</v>
      </c>
      <c r="C179" s="2" t="s">
        <v>30</v>
      </c>
      <c r="D179" s="2" t="s">
        <v>31</v>
      </c>
      <c r="E179" s="2" t="s">
        <v>49</v>
      </c>
      <c r="F179" s="4" t="str">
        <f aca="false">INDEX(Products!$B$2:$B$9,MATCH(E179,Products!$A$2:$A$9,0))</f>
        <v>Mounting Kit</v>
      </c>
      <c r="G179" s="4" t="str">
        <f aca="false">INDEX(Products!$C$2:$C$9,MATCH(E179,Products!$A$2:$A$9,0))</f>
        <v>Accessories</v>
      </c>
      <c r="H179" s="5" t="n">
        <v>1</v>
      </c>
      <c r="I179" s="6" t="n">
        <f aca="false">INDEX(Products!$D$2:$D$9,MATCH(E179,Products!$A$2:$A$9,0))</f>
        <v>39</v>
      </c>
      <c r="J179" s="7" t="n">
        <v>0</v>
      </c>
      <c r="K179" s="8" t="n">
        <f aca="false">H179*I179*(1-J179)</f>
        <v>39</v>
      </c>
      <c r="L179" s="6" t="n">
        <f aca="false">H179*INDEX(Products!$E$2:$E$9,MATCH(E179,Products!$A$2:$A$9,0))</f>
        <v>31.5</v>
      </c>
      <c r="M179" s="8" t="n">
        <f aca="false">K179-L179</f>
        <v>7.5</v>
      </c>
      <c r="N179" s="2" t="s">
        <v>28</v>
      </c>
      <c r="O179" s="2" t="s">
        <v>33</v>
      </c>
    </row>
    <row r="180" customFormat="false" ht="15" hidden="false" customHeight="false" outlineLevel="0" collapsed="false">
      <c r="A180" s="2" t="s">
        <v>234</v>
      </c>
      <c r="B180" s="3" t="n">
        <v>45733</v>
      </c>
      <c r="C180" s="2" t="s">
        <v>47</v>
      </c>
      <c r="D180" s="2" t="s">
        <v>55</v>
      </c>
      <c r="E180" s="2" t="s">
        <v>18</v>
      </c>
      <c r="F180" s="4" t="str">
        <f aca="false">INDEX(Products!$B$2:$B$9,MATCH(E180,Products!$A$2:$A$9,0))</f>
        <v>Sensor Hub Pro</v>
      </c>
      <c r="G180" s="4" t="str">
        <f aca="false">INDEX(Products!$C$2:$C$9,MATCH(E180,Products!$A$2:$A$9,0))</f>
        <v>Hardware</v>
      </c>
      <c r="H180" s="5" t="n">
        <v>2</v>
      </c>
      <c r="I180" s="6" t="n">
        <f aca="false">INDEX(Products!$D$2:$D$9,MATCH(E180,Products!$A$2:$A$9,0))</f>
        <v>349</v>
      </c>
      <c r="J180" s="7" t="n">
        <v>0.1</v>
      </c>
      <c r="K180" s="8" t="n">
        <f aca="false">H180*I180*(1-J180)</f>
        <v>628.2</v>
      </c>
      <c r="L180" s="6" t="n">
        <f aca="false">H180*INDEX(Products!$E$2:$E$9,MATCH(E180,Products!$A$2:$A$9,0))</f>
        <v>402</v>
      </c>
      <c r="M180" s="8" t="n">
        <f aca="false">K180-L180</f>
        <v>226.2</v>
      </c>
      <c r="N180" s="2" t="s">
        <v>28</v>
      </c>
      <c r="O180" s="2" t="s">
        <v>72</v>
      </c>
    </row>
    <row r="181" customFormat="false" ht="15" hidden="false" customHeight="false" outlineLevel="0" collapsed="false">
      <c r="A181" s="2" t="s">
        <v>235</v>
      </c>
      <c r="B181" s="3" t="n">
        <v>45733</v>
      </c>
      <c r="C181" s="2" t="s">
        <v>30</v>
      </c>
      <c r="D181" s="2" t="s">
        <v>31</v>
      </c>
      <c r="E181" s="2" t="s">
        <v>57</v>
      </c>
      <c r="F181" s="4" t="str">
        <f aca="false">INDEX(Products!$B$2:$B$9,MATCH(E181,Products!$A$2:$A$9,0))</f>
        <v>Edge Gateway</v>
      </c>
      <c r="G181" s="4" t="str">
        <f aca="false">INDEX(Products!$C$2:$C$9,MATCH(E181,Products!$A$2:$A$9,0))</f>
        <v>Hardware</v>
      </c>
      <c r="H181" s="5" t="n">
        <v>20</v>
      </c>
      <c r="I181" s="6" t="n">
        <f aca="false">INDEX(Products!$D$2:$D$9,MATCH(E181,Products!$A$2:$A$9,0))</f>
        <v>899</v>
      </c>
      <c r="J181" s="7" t="n">
        <v>0.25</v>
      </c>
      <c r="K181" s="8" t="n">
        <f aca="false">H181*I181*(1-J181)</f>
        <v>13485</v>
      </c>
      <c r="L181" s="6" t="n">
        <f aca="false">H181*INDEX(Products!$E$2:$E$9,MATCH(E181,Products!$A$2:$A$9,0))</f>
        <v>12240</v>
      </c>
      <c r="M181" s="8" t="n">
        <f aca="false">K181-L181</f>
        <v>1245</v>
      </c>
      <c r="N181" s="2" t="s">
        <v>19</v>
      </c>
      <c r="O181" s="2" t="s">
        <v>64</v>
      </c>
    </row>
    <row r="182" customFormat="false" ht="15" hidden="false" customHeight="false" outlineLevel="0" collapsed="false">
      <c r="A182" s="2" t="s">
        <v>236</v>
      </c>
      <c r="B182" s="3" t="n">
        <v>45733</v>
      </c>
      <c r="C182" s="2" t="s">
        <v>16</v>
      </c>
      <c r="D182" s="2" t="s">
        <v>17</v>
      </c>
      <c r="E182" s="2" t="s">
        <v>23</v>
      </c>
      <c r="F182" s="4" t="str">
        <f aca="false">INDEX(Products!$B$2:$B$9,MATCH(E182,Products!$A$2:$A$9,0))</f>
        <v>Sensor Hub S</v>
      </c>
      <c r="G182" s="4" t="str">
        <f aca="false">INDEX(Products!$C$2:$C$9,MATCH(E182,Products!$A$2:$A$9,0))</f>
        <v>Hardware</v>
      </c>
      <c r="H182" s="5" t="n">
        <v>2</v>
      </c>
      <c r="I182" s="6" t="n">
        <f aca="false">INDEX(Products!$D$2:$D$9,MATCH(E182,Products!$A$2:$A$9,0))</f>
        <v>189</v>
      </c>
      <c r="J182" s="7" t="n">
        <v>0.2</v>
      </c>
      <c r="K182" s="8" t="n">
        <f aca="false">H182*I182*(1-J182)</f>
        <v>302.4</v>
      </c>
      <c r="L182" s="6" t="n">
        <f aca="false">H182*INDEX(Products!$E$2:$E$9,MATCH(E182,Products!$A$2:$A$9,0))</f>
        <v>196</v>
      </c>
      <c r="M182" s="8" t="n">
        <f aca="false">K182-L182</f>
        <v>106.4</v>
      </c>
      <c r="N182" s="2" t="s">
        <v>19</v>
      </c>
      <c r="O182" s="2" t="s">
        <v>36</v>
      </c>
    </row>
    <row r="183" customFormat="false" ht="15" hidden="false" customHeight="false" outlineLevel="0" collapsed="false">
      <c r="A183" s="2" t="s">
        <v>237</v>
      </c>
      <c r="B183" s="3" t="n">
        <v>45734</v>
      </c>
      <c r="C183" s="2" t="s">
        <v>47</v>
      </c>
      <c r="D183" s="2" t="s">
        <v>157</v>
      </c>
      <c r="E183" s="2" t="s">
        <v>26</v>
      </c>
      <c r="F183" s="4" t="str">
        <f aca="false">INDEX(Products!$B$2:$B$9,MATCH(E183,Products!$A$2:$A$9,0))</f>
        <v>Analytics Basic</v>
      </c>
      <c r="G183" s="4" t="str">
        <f aca="false">INDEX(Products!$C$2:$C$9,MATCH(E183,Products!$A$2:$A$9,0))</f>
        <v>Software</v>
      </c>
      <c r="H183" s="5" t="n">
        <v>3</v>
      </c>
      <c r="I183" s="6" t="n">
        <f aca="false">INDEX(Products!$D$2:$D$9,MATCH(E183,Products!$A$2:$A$9,0))</f>
        <v>120</v>
      </c>
      <c r="J183" s="7" t="n">
        <v>0.05</v>
      </c>
      <c r="K183" s="8" t="n">
        <f aca="false">H183*I183*(1-J183)</f>
        <v>342</v>
      </c>
      <c r="L183" s="6" t="n">
        <f aca="false">H183*INDEX(Products!$E$2:$E$9,MATCH(E183,Products!$A$2:$A$9,0))</f>
        <v>54</v>
      </c>
      <c r="M183" s="8" t="n">
        <f aca="false">K183-L183</f>
        <v>288</v>
      </c>
      <c r="N183" s="2" t="s">
        <v>28</v>
      </c>
      <c r="O183" s="2" t="s">
        <v>50</v>
      </c>
    </row>
    <row r="184" customFormat="false" ht="15" hidden="false" customHeight="false" outlineLevel="0" collapsed="false">
      <c r="A184" s="2" t="s">
        <v>238</v>
      </c>
      <c r="B184" s="3" t="n">
        <v>45734</v>
      </c>
      <c r="C184" s="2" t="s">
        <v>16</v>
      </c>
      <c r="D184" s="2" t="s">
        <v>35</v>
      </c>
      <c r="E184" s="2" t="s">
        <v>23</v>
      </c>
      <c r="F184" s="4" t="str">
        <f aca="false">INDEX(Products!$B$2:$B$9,MATCH(E184,Products!$A$2:$A$9,0))</f>
        <v>Sensor Hub S</v>
      </c>
      <c r="G184" s="4" t="str">
        <f aca="false">INDEX(Products!$C$2:$C$9,MATCH(E184,Products!$A$2:$A$9,0))</f>
        <v>Hardware</v>
      </c>
      <c r="H184" s="5" t="n">
        <v>8</v>
      </c>
      <c r="I184" s="6" t="n">
        <f aca="false">INDEX(Products!$D$2:$D$9,MATCH(E184,Products!$A$2:$A$9,0))</f>
        <v>189</v>
      </c>
      <c r="J184" s="7" t="n">
        <v>0.25</v>
      </c>
      <c r="K184" s="8" t="n">
        <f aca="false">H184*I184*(1-J184)</f>
        <v>1134</v>
      </c>
      <c r="L184" s="6" t="n">
        <f aca="false">H184*INDEX(Products!$E$2:$E$9,MATCH(E184,Products!$A$2:$A$9,0))</f>
        <v>784</v>
      </c>
      <c r="M184" s="8" t="n">
        <f aca="false">K184-L184</f>
        <v>350</v>
      </c>
      <c r="N184" s="2" t="s">
        <v>19</v>
      </c>
      <c r="O184" s="2" t="s">
        <v>36</v>
      </c>
    </row>
    <row r="185" customFormat="false" ht="15" hidden="false" customHeight="false" outlineLevel="0" collapsed="false">
      <c r="A185" s="2" t="s">
        <v>239</v>
      </c>
      <c r="B185" s="3" t="n">
        <v>45734</v>
      </c>
      <c r="C185" s="2" t="s">
        <v>47</v>
      </c>
      <c r="D185" s="2" t="s">
        <v>157</v>
      </c>
      <c r="E185" s="2" t="s">
        <v>23</v>
      </c>
      <c r="F185" s="4" t="str">
        <f aca="false">INDEX(Products!$B$2:$B$9,MATCH(E185,Products!$A$2:$A$9,0))</f>
        <v>Sensor Hub S</v>
      </c>
      <c r="G185" s="4" t="str">
        <f aca="false">INDEX(Products!$C$2:$C$9,MATCH(E185,Products!$A$2:$A$9,0))</f>
        <v>Hardware</v>
      </c>
      <c r="H185" s="5" t="n">
        <v>8</v>
      </c>
      <c r="I185" s="6" t="n">
        <f aca="false">INDEX(Products!$D$2:$D$9,MATCH(E185,Products!$A$2:$A$9,0))</f>
        <v>189</v>
      </c>
      <c r="J185" s="7" t="n">
        <v>0</v>
      </c>
      <c r="K185" s="8" t="n">
        <f aca="false">H185*I185*(1-J185)</f>
        <v>1512</v>
      </c>
      <c r="L185" s="6" t="n">
        <f aca="false">H185*INDEX(Products!$E$2:$E$9,MATCH(E185,Products!$A$2:$A$9,0))</f>
        <v>784</v>
      </c>
      <c r="M185" s="8" t="n">
        <f aca="false">K185-L185</f>
        <v>728</v>
      </c>
      <c r="N185" s="2" t="s">
        <v>28</v>
      </c>
      <c r="O185" s="2" t="s">
        <v>50</v>
      </c>
    </row>
    <row r="186" customFormat="false" ht="15" hidden="false" customHeight="false" outlineLevel="0" collapsed="false">
      <c r="A186" s="2" t="s">
        <v>240</v>
      </c>
      <c r="B186" s="3" t="n">
        <v>45734</v>
      </c>
      <c r="C186" s="2" t="s">
        <v>16</v>
      </c>
      <c r="D186" s="2" t="s">
        <v>25</v>
      </c>
      <c r="E186" s="2" t="s">
        <v>68</v>
      </c>
      <c r="F186" s="4" t="str">
        <f aca="false">INDEX(Products!$B$2:$B$9,MATCH(E186,Products!$A$2:$A$9,0))</f>
        <v>Premium Support</v>
      </c>
      <c r="G186" s="4" t="str">
        <f aca="false">INDEX(Products!$C$2:$C$9,MATCH(E186,Products!$A$2:$A$9,0))</f>
        <v>Services</v>
      </c>
      <c r="H186" s="5" t="n">
        <v>1</v>
      </c>
      <c r="I186" s="6" t="n">
        <f aca="false">INDEX(Products!$D$2:$D$9,MATCH(E186,Products!$A$2:$A$9,0))</f>
        <v>600</v>
      </c>
      <c r="J186" s="7" t="n">
        <v>0.15</v>
      </c>
      <c r="K186" s="8" t="n">
        <f aca="false">H186*I186*(1-J186)</f>
        <v>510</v>
      </c>
      <c r="L186" s="6" t="n">
        <f aca="false">H186*INDEX(Products!$E$2:$E$9,MATCH(E186,Products!$A$2:$A$9,0))</f>
        <v>395</v>
      </c>
      <c r="M186" s="8" t="n">
        <f aca="false">K186-L186</f>
        <v>115</v>
      </c>
      <c r="N186" s="2" t="s">
        <v>19</v>
      </c>
      <c r="O186" s="2" t="s">
        <v>20</v>
      </c>
    </row>
    <row r="187" customFormat="false" ht="15" hidden="false" customHeight="false" outlineLevel="0" collapsed="false">
      <c r="A187" s="2" t="s">
        <v>241</v>
      </c>
      <c r="B187" s="3" t="n">
        <v>45734</v>
      </c>
      <c r="C187" s="2" t="s">
        <v>41</v>
      </c>
      <c r="D187" s="2" t="s">
        <v>42</v>
      </c>
      <c r="E187" s="2" t="s">
        <v>49</v>
      </c>
      <c r="F187" s="4" t="str">
        <f aca="false">INDEX(Products!$B$2:$B$9,MATCH(E187,Products!$A$2:$A$9,0))</f>
        <v>Mounting Kit</v>
      </c>
      <c r="G187" s="4" t="str">
        <f aca="false">INDEX(Products!$C$2:$C$9,MATCH(E187,Products!$A$2:$A$9,0))</f>
        <v>Accessories</v>
      </c>
      <c r="H187" s="5" t="n">
        <v>1</v>
      </c>
      <c r="I187" s="6" t="n">
        <f aca="false">INDEX(Products!$D$2:$D$9,MATCH(E187,Products!$A$2:$A$9,0))</f>
        <v>39</v>
      </c>
      <c r="J187" s="7" t="n">
        <v>0.15</v>
      </c>
      <c r="K187" s="8" t="n">
        <f aca="false">H187*I187*(1-J187)</f>
        <v>33.15</v>
      </c>
      <c r="L187" s="6" t="n">
        <f aca="false">H187*INDEX(Products!$E$2:$E$9,MATCH(E187,Products!$A$2:$A$9,0))</f>
        <v>31.5</v>
      </c>
      <c r="M187" s="8" t="n">
        <f aca="false">K187-L187</f>
        <v>1.65</v>
      </c>
      <c r="N187" s="2" t="s">
        <v>28</v>
      </c>
      <c r="O187" s="2" t="s">
        <v>52</v>
      </c>
    </row>
    <row r="188" customFormat="false" ht="15" hidden="false" customHeight="false" outlineLevel="0" collapsed="false">
      <c r="A188" s="2" t="s">
        <v>242</v>
      </c>
      <c r="B188" s="3" t="n">
        <v>45735</v>
      </c>
      <c r="C188" s="2" t="s">
        <v>41</v>
      </c>
      <c r="D188" s="2" t="s">
        <v>66</v>
      </c>
      <c r="E188" s="2" t="s">
        <v>26</v>
      </c>
      <c r="F188" s="4" t="str">
        <f aca="false">INDEX(Products!$B$2:$B$9,MATCH(E188,Products!$A$2:$A$9,0))</f>
        <v>Analytics Basic</v>
      </c>
      <c r="G188" s="4" t="str">
        <f aca="false">INDEX(Products!$C$2:$C$9,MATCH(E188,Products!$A$2:$A$9,0))</f>
        <v>Software</v>
      </c>
      <c r="H188" s="5" t="n">
        <v>1</v>
      </c>
      <c r="I188" s="6" t="n">
        <f aca="false">INDEX(Products!$D$2:$D$9,MATCH(E188,Products!$A$2:$A$9,0))</f>
        <v>120</v>
      </c>
      <c r="J188" s="7" t="n">
        <v>0.15</v>
      </c>
      <c r="K188" s="8" t="n">
        <f aca="false">H188*I188*(1-J188)</f>
        <v>102</v>
      </c>
      <c r="L188" s="6" t="n">
        <f aca="false">H188*INDEX(Products!$E$2:$E$9,MATCH(E188,Products!$A$2:$A$9,0))</f>
        <v>18</v>
      </c>
      <c r="M188" s="8" t="n">
        <f aca="false">K188-L188</f>
        <v>84</v>
      </c>
      <c r="N188" s="2" t="s">
        <v>28</v>
      </c>
      <c r="O188" s="2" t="s">
        <v>43</v>
      </c>
    </row>
    <row r="189" customFormat="false" ht="15" hidden="false" customHeight="false" outlineLevel="0" collapsed="false">
      <c r="A189" s="2" t="s">
        <v>243</v>
      </c>
      <c r="B189" s="3" t="n">
        <v>45735</v>
      </c>
      <c r="C189" s="2" t="s">
        <v>47</v>
      </c>
      <c r="D189" s="2" t="s">
        <v>48</v>
      </c>
      <c r="E189" s="2" t="s">
        <v>23</v>
      </c>
      <c r="F189" s="4" t="str">
        <f aca="false">INDEX(Products!$B$2:$B$9,MATCH(E189,Products!$A$2:$A$9,0))</f>
        <v>Sensor Hub S</v>
      </c>
      <c r="G189" s="4" t="str">
        <f aca="false">INDEX(Products!$C$2:$C$9,MATCH(E189,Products!$A$2:$A$9,0))</f>
        <v>Hardware</v>
      </c>
      <c r="H189" s="5" t="n">
        <v>2</v>
      </c>
      <c r="I189" s="6" t="n">
        <f aca="false">INDEX(Products!$D$2:$D$9,MATCH(E189,Products!$A$2:$A$9,0))</f>
        <v>189</v>
      </c>
      <c r="J189" s="7" t="n">
        <v>0.15</v>
      </c>
      <c r="K189" s="8" t="n">
        <f aca="false">H189*I189*(1-J189)</f>
        <v>321.3</v>
      </c>
      <c r="L189" s="6" t="n">
        <f aca="false">H189*INDEX(Products!$E$2:$E$9,MATCH(E189,Products!$A$2:$A$9,0))</f>
        <v>196</v>
      </c>
      <c r="M189" s="8" t="n">
        <f aca="false">K189-L189</f>
        <v>125.3</v>
      </c>
      <c r="N189" s="2" t="s">
        <v>19</v>
      </c>
      <c r="O189" s="2" t="s">
        <v>50</v>
      </c>
    </row>
    <row r="190" customFormat="false" ht="15" hidden="false" customHeight="false" outlineLevel="0" collapsed="false">
      <c r="A190" s="2" t="s">
        <v>244</v>
      </c>
      <c r="B190" s="3" t="n">
        <v>45735</v>
      </c>
      <c r="C190" s="2" t="s">
        <v>47</v>
      </c>
      <c r="D190" s="2" t="s">
        <v>55</v>
      </c>
      <c r="E190" s="2" t="s">
        <v>18</v>
      </c>
      <c r="F190" s="4" t="str">
        <f aca="false">INDEX(Products!$B$2:$B$9,MATCH(E190,Products!$A$2:$A$9,0))</f>
        <v>Sensor Hub Pro</v>
      </c>
      <c r="G190" s="4" t="str">
        <f aca="false">INDEX(Products!$C$2:$C$9,MATCH(E190,Products!$A$2:$A$9,0))</f>
        <v>Hardware</v>
      </c>
      <c r="H190" s="5" t="n">
        <v>5</v>
      </c>
      <c r="I190" s="6" t="n">
        <f aca="false">INDEX(Products!$D$2:$D$9,MATCH(E190,Products!$A$2:$A$9,0))</f>
        <v>349</v>
      </c>
      <c r="J190" s="7" t="n">
        <v>0.2</v>
      </c>
      <c r="K190" s="8" t="n">
        <f aca="false">H190*I190*(1-J190)</f>
        <v>1396</v>
      </c>
      <c r="L190" s="6" t="n">
        <f aca="false">H190*INDEX(Products!$E$2:$E$9,MATCH(E190,Products!$A$2:$A$9,0))</f>
        <v>1005</v>
      </c>
      <c r="M190" s="8" t="n">
        <f aca="false">K190-L190</f>
        <v>391</v>
      </c>
      <c r="N190" s="2" t="s">
        <v>19</v>
      </c>
      <c r="O190" s="2" t="s">
        <v>50</v>
      </c>
    </row>
    <row r="191" customFormat="false" ht="15" hidden="false" customHeight="false" outlineLevel="0" collapsed="false">
      <c r="A191" s="2" t="s">
        <v>245</v>
      </c>
      <c r="B191" s="3" t="n">
        <v>45736</v>
      </c>
      <c r="C191" s="2" t="s">
        <v>41</v>
      </c>
      <c r="D191" s="2" t="s">
        <v>42</v>
      </c>
      <c r="E191" s="2" t="s">
        <v>18</v>
      </c>
      <c r="F191" s="4" t="str">
        <f aca="false">INDEX(Products!$B$2:$B$9,MATCH(E191,Products!$A$2:$A$9,0))</f>
        <v>Sensor Hub Pro</v>
      </c>
      <c r="G191" s="4" t="str">
        <f aca="false">INDEX(Products!$C$2:$C$9,MATCH(E191,Products!$A$2:$A$9,0))</f>
        <v>Hardware</v>
      </c>
      <c r="H191" s="5" t="n">
        <v>20</v>
      </c>
      <c r="I191" s="6" t="n">
        <f aca="false">INDEX(Products!$D$2:$D$9,MATCH(E191,Products!$A$2:$A$9,0))</f>
        <v>349</v>
      </c>
      <c r="J191" s="7" t="n">
        <v>0.05</v>
      </c>
      <c r="K191" s="8" t="n">
        <f aca="false">H191*I191*(1-J191)</f>
        <v>6631</v>
      </c>
      <c r="L191" s="6" t="n">
        <f aca="false">H191*INDEX(Products!$E$2:$E$9,MATCH(E191,Products!$A$2:$A$9,0))</f>
        <v>4020</v>
      </c>
      <c r="M191" s="8" t="n">
        <f aca="false">K191-L191</f>
        <v>2611</v>
      </c>
      <c r="N191" s="2" t="s">
        <v>38</v>
      </c>
      <c r="O191" s="2" t="s">
        <v>52</v>
      </c>
    </row>
    <row r="192" customFormat="false" ht="15" hidden="false" customHeight="false" outlineLevel="0" collapsed="false">
      <c r="A192" s="2" t="s">
        <v>246</v>
      </c>
      <c r="B192" s="3" t="n">
        <v>45736</v>
      </c>
      <c r="C192" s="2" t="s">
        <v>16</v>
      </c>
      <c r="D192" s="2" t="s">
        <v>25</v>
      </c>
      <c r="E192" s="2" t="s">
        <v>32</v>
      </c>
      <c r="F192" s="4" t="str">
        <f aca="false">INDEX(Products!$B$2:$B$9,MATCH(E192,Products!$A$2:$A$9,0))</f>
        <v>Analytics Plus</v>
      </c>
      <c r="G192" s="4" t="str">
        <f aca="false">INDEX(Products!$C$2:$C$9,MATCH(E192,Products!$A$2:$A$9,0))</f>
        <v>Software</v>
      </c>
      <c r="H192" s="5" t="n">
        <v>1</v>
      </c>
      <c r="I192" s="6" t="n">
        <f aca="false">INDEX(Products!$D$2:$D$9,MATCH(E192,Products!$A$2:$A$9,0))</f>
        <v>290</v>
      </c>
      <c r="J192" s="7" t="n">
        <v>0.1</v>
      </c>
      <c r="K192" s="8" t="n">
        <f aca="false">H192*I192*(1-J192)</f>
        <v>261</v>
      </c>
      <c r="L192" s="6" t="n">
        <f aca="false">H192*INDEX(Products!$E$2:$E$9,MATCH(E192,Products!$A$2:$A$9,0))</f>
        <v>41</v>
      </c>
      <c r="M192" s="8" t="n">
        <f aca="false">K192-L192</f>
        <v>220</v>
      </c>
      <c r="N192" s="2" t="s">
        <v>28</v>
      </c>
      <c r="O192" s="2" t="s">
        <v>36</v>
      </c>
    </row>
    <row r="193" customFormat="false" ht="15" hidden="false" customHeight="false" outlineLevel="0" collapsed="false">
      <c r="A193" s="2" t="s">
        <v>247</v>
      </c>
      <c r="B193" s="3" t="n">
        <v>45736</v>
      </c>
      <c r="C193" s="2" t="s">
        <v>41</v>
      </c>
      <c r="D193" s="2" t="s">
        <v>66</v>
      </c>
      <c r="E193" s="2" t="s">
        <v>49</v>
      </c>
      <c r="F193" s="4" t="str">
        <f aca="false">INDEX(Products!$B$2:$B$9,MATCH(E193,Products!$A$2:$A$9,0))</f>
        <v>Mounting Kit</v>
      </c>
      <c r="G193" s="4" t="str">
        <f aca="false">INDEX(Products!$C$2:$C$9,MATCH(E193,Products!$A$2:$A$9,0))</f>
        <v>Accessories</v>
      </c>
      <c r="H193" s="5" t="n">
        <v>3</v>
      </c>
      <c r="I193" s="6" t="n">
        <f aca="false">INDEX(Products!$D$2:$D$9,MATCH(E193,Products!$A$2:$A$9,0))</f>
        <v>39</v>
      </c>
      <c r="J193" s="7" t="n">
        <v>0.2</v>
      </c>
      <c r="K193" s="8" t="n">
        <f aca="false">H193*I193*(1-J193)</f>
        <v>93.6</v>
      </c>
      <c r="L193" s="6" t="n">
        <f aca="false">H193*INDEX(Products!$E$2:$E$9,MATCH(E193,Products!$A$2:$A$9,0))</f>
        <v>94.5</v>
      </c>
      <c r="M193" s="8" t="n">
        <f aca="false">K193-L193</f>
        <v>-0.899999999999992</v>
      </c>
      <c r="N193" s="2" t="s">
        <v>19</v>
      </c>
      <c r="O193" s="2" t="s">
        <v>43</v>
      </c>
    </row>
    <row r="194" customFormat="false" ht="15" hidden="false" customHeight="false" outlineLevel="0" collapsed="false">
      <c r="A194" s="2" t="s">
        <v>248</v>
      </c>
      <c r="B194" s="3" t="n">
        <v>45736</v>
      </c>
      <c r="C194" s="2" t="s">
        <v>41</v>
      </c>
      <c r="D194" s="2" t="s">
        <v>42</v>
      </c>
      <c r="E194" s="2" t="s">
        <v>68</v>
      </c>
      <c r="F194" s="4" t="str">
        <f aca="false">INDEX(Products!$B$2:$B$9,MATCH(E194,Products!$A$2:$A$9,0))</f>
        <v>Premium Support</v>
      </c>
      <c r="G194" s="4" t="str">
        <f aca="false">INDEX(Products!$C$2:$C$9,MATCH(E194,Products!$A$2:$A$9,0))</f>
        <v>Services</v>
      </c>
      <c r="H194" s="5" t="n">
        <v>5</v>
      </c>
      <c r="I194" s="6" t="n">
        <f aca="false">INDEX(Products!$D$2:$D$9,MATCH(E194,Products!$A$2:$A$9,0))</f>
        <v>600</v>
      </c>
      <c r="J194" s="7" t="n">
        <v>0.05</v>
      </c>
      <c r="K194" s="8" t="n">
        <f aca="false">H194*I194*(1-J194)</f>
        <v>2850</v>
      </c>
      <c r="L194" s="6" t="n">
        <f aca="false">H194*INDEX(Products!$E$2:$E$9,MATCH(E194,Products!$A$2:$A$9,0))</f>
        <v>1975</v>
      </c>
      <c r="M194" s="8" t="n">
        <f aca="false">K194-L194</f>
        <v>875</v>
      </c>
      <c r="N194" s="2" t="s">
        <v>38</v>
      </c>
      <c r="O194" s="2" t="s">
        <v>52</v>
      </c>
    </row>
    <row r="195" customFormat="false" ht="15" hidden="false" customHeight="false" outlineLevel="0" collapsed="false">
      <c r="A195" s="2" t="s">
        <v>249</v>
      </c>
      <c r="B195" s="3" t="n">
        <v>45737</v>
      </c>
      <c r="C195" s="2" t="s">
        <v>47</v>
      </c>
      <c r="D195" s="2" t="s">
        <v>157</v>
      </c>
      <c r="E195" s="2" t="s">
        <v>23</v>
      </c>
      <c r="F195" s="4" t="str">
        <f aca="false">INDEX(Products!$B$2:$B$9,MATCH(E195,Products!$A$2:$A$9,0))</f>
        <v>Sensor Hub S</v>
      </c>
      <c r="G195" s="4" t="str">
        <f aca="false">INDEX(Products!$C$2:$C$9,MATCH(E195,Products!$A$2:$A$9,0))</f>
        <v>Hardware</v>
      </c>
      <c r="H195" s="5" t="n">
        <v>3</v>
      </c>
      <c r="I195" s="6" t="n">
        <f aca="false">INDEX(Products!$D$2:$D$9,MATCH(E195,Products!$A$2:$A$9,0))</f>
        <v>189</v>
      </c>
      <c r="J195" s="7" t="n">
        <v>0</v>
      </c>
      <c r="K195" s="8" t="n">
        <f aca="false">H195*I195*(1-J195)</f>
        <v>567</v>
      </c>
      <c r="L195" s="6" t="n">
        <f aca="false">H195*INDEX(Products!$E$2:$E$9,MATCH(E195,Products!$A$2:$A$9,0))</f>
        <v>294</v>
      </c>
      <c r="M195" s="8" t="n">
        <f aca="false">K195-L195</f>
        <v>273</v>
      </c>
      <c r="N195" s="2" t="s">
        <v>28</v>
      </c>
      <c r="O195" s="2" t="s">
        <v>50</v>
      </c>
    </row>
    <row r="196" customFormat="false" ht="15" hidden="false" customHeight="false" outlineLevel="0" collapsed="false">
      <c r="A196" s="2" t="s">
        <v>250</v>
      </c>
      <c r="B196" s="3" t="n">
        <v>45737</v>
      </c>
      <c r="C196" s="2" t="s">
        <v>16</v>
      </c>
      <c r="D196" s="2" t="s">
        <v>17</v>
      </c>
      <c r="E196" s="2" t="s">
        <v>49</v>
      </c>
      <c r="F196" s="4" t="str">
        <f aca="false">INDEX(Products!$B$2:$B$9,MATCH(E196,Products!$A$2:$A$9,0))</f>
        <v>Mounting Kit</v>
      </c>
      <c r="G196" s="4" t="str">
        <f aca="false">INDEX(Products!$C$2:$C$9,MATCH(E196,Products!$A$2:$A$9,0))</f>
        <v>Accessories</v>
      </c>
      <c r="H196" s="5" t="n">
        <v>2</v>
      </c>
      <c r="I196" s="6" t="n">
        <f aca="false">INDEX(Products!$D$2:$D$9,MATCH(E196,Products!$A$2:$A$9,0))</f>
        <v>39</v>
      </c>
      <c r="J196" s="7" t="n">
        <v>0.15</v>
      </c>
      <c r="K196" s="8" t="n">
        <f aca="false">H196*I196*(1-J196)</f>
        <v>66.3</v>
      </c>
      <c r="L196" s="6" t="n">
        <f aca="false">H196*INDEX(Products!$E$2:$E$9,MATCH(E196,Products!$A$2:$A$9,0))</f>
        <v>63</v>
      </c>
      <c r="M196" s="8" t="n">
        <f aca="false">K196-L196</f>
        <v>3.3</v>
      </c>
      <c r="N196" s="2" t="s">
        <v>28</v>
      </c>
      <c r="O196" s="2" t="s">
        <v>36</v>
      </c>
    </row>
    <row r="197" customFormat="false" ht="15" hidden="false" customHeight="false" outlineLevel="0" collapsed="false">
      <c r="A197" s="2" t="s">
        <v>251</v>
      </c>
      <c r="B197" s="3" t="n">
        <v>45737</v>
      </c>
      <c r="C197" s="2" t="s">
        <v>41</v>
      </c>
      <c r="D197" s="2" t="s">
        <v>42</v>
      </c>
      <c r="E197" s="2" t="s">
        <v>68</v>
      </c>
      <c r="F197" s="4" t="str">
        <f aca="false">INDEX(Products!$B$2:$B$9,MATCH(E197,Products!$A$2:$A$9,0))</f>
        <v>Premium Support</v>
      </c>
      <c r="G197" s="4" t="str">
        <f aca="false">INDEX(Products!$C$2:$C$9,MATCH(E197,Products!$A$2:$A$9,0))</f>
        <v>Services</v>
      </c>
      <c r="H197" s="5" t="n">
        <v>3</v>
      </c>
      <c r="I197" s="6" t="n">
        <f aca="false">INDEX(Products!$D$2:$D$9,MATCH(E197,Products!$A$2:$A$9,0))</f>
        <v>600</v>
      </c>
      <c r="J197" s="7" t="n">
        <v>0.05</v>
      </c>
      <c r="K197" s="8" t="n">
        <f aca="false">H197*I197*(1-J197)</f>
        <v>1710</v>
      </c>
      <c r="L197" s="6" t="n">
        <f aca="false">H197*INDEX(Products!$E$2:$E$9,MATCH(E197,Products!$A$2:$A$9,0))</f>
        <v>1185</v>
      </c>
      <c r="M197" s="8" t="n">
        <f aca="false">K197-L197</f>
        <v>525</v>
      </c>
      <c r="N197" s="2" t="s">
        <v>28</v>
      </c>
      <c r="O197" s="2" t="s">
        <v>43</v>
      </c>
    </row>
    <row r="198" customFormat="false" ht="15" hidden="false" customHeight="false" outlineLevel="0" collapsed="false">
      <c r="A198" s="2" t="s">
        <v>252</v>
      </c>
      <c r="B198" s="3" t="n">
        <v>45737</v>
      </c>
      <c r="C198" s="2" t="s">
        <v>16</v>
      </c>
      <c r="D198" s="2" t="s">
        <v>25</v>
      </c>
      <c r="E198" s="2" t="s">
        <v>32</v>
      </c>
      <c r="F198" s="4" t="str">
        <f aca="false">INDEX(Products!$B$2:$B$9,MATCH(E198,Products!$A$2:$A$9,0))</f>
        <v>Analytics Plus</v>
      </c>
      <c r="G198" s="4" t="str">
        <f aca="false">INDEX(Products!$C$2:$C$9,MATCH(E198,Products!$A$2:$A$9,0))</f>
        <v>Software</v>
      </c>
      <c r="H198" s="5" t="n">
        <v>3</v>
      </c>
      <c r="I198" s="6" t="n">
        <f aca="false">INDEX(Products!$D$2:$D$9,MATCH(E198,Products!$A$2:$A$9,0))</f>
        <v>290</v>
      </c>
      <c r="J198" s="7" t="n">
        <v>0.1</v>
      </c>
      <c r="K198" s="8" t="n">
        <f aca="false">H198*I198*(1-J198)</f>
        <v>783</v>
      </c>
      <c r="L198" s="6" t="n">
        <f aca="false">H198*INDEX(Products!$E$2:$E$9,MATCH(E198,Products!$A$2:$A$9,0))</f>
        <v>123</v>
      </c>
      <c r="M198" s="8" t="n">
        <f aca="false">K198-L198</f>
        <v>660</v>
      </c>
      <c r="N198" s="2" t="s">
        <v>19</v>
      </c>
      <c r="O198" s="2" t="s">
        <v>36</v>
      </c>
    </row>
    <row r="199" customFormat="false" ht="15" hidden="false" customHeight="false" outlineLevel="0" collapsed="false">
      <c r="A199" s="2" t="s">
        <v>253</v>
      </c>
      <c r="B199" s="3" t="n">
        <v>45738</v>
      </c>
      <c r="C199" s="2" t="s">
        <v>47</v>
      </c>
      <c r="D199" s="2" t="s">
        <v>157</v>
      </c>
      <c r="E199" s="2" t="s">
        <v>18</v>
      </c>
      <c r="F199" s="4" t="str">
        <f aca="false">INDEX(Products!$B$2:$B$9,MATCH(E199,Products!$A$2:$A$9,0))</f>
        <v>Sensor Hub Pro</v>
      </c>
      <c r="G199" s="4" t="str">
        <f aca="false">INDEX(Products!$C$2:$C$9,MATCH(E199,Products!$A$2:$A$9,0))</f>
        <v>Hardware</v>
      </c>
      <c r="H199" s="5" t="n">
        <v>8</v>
      </c>
      <c r="I199" s="6" t="n">
        <f aca="false">INDEX(Products!$D$2:$D$9,MATCH(E199,Products!$A$2:$A$9,0))</f>
        <v>349</v>
      </c>
      <c r="J199" s="7" t="n">
        <v>0</v>
      </c>
      <c r="K199" s="8" t="n">
        <f aca="false">H199*I199*(1-J199)</f>
        <v>2792</v>
      </c>
      <c r="L199" s="6" t="n">
        <f aca="false">H199*INDEX(Products!$E$2:$E$9,MATCH(E199,Products!$A$2:$A$9,0))</f>
        <v>1608</v>
      </c>
      <c r="M199" s="8" t="n">
        <f aca="false">K199-L199</f>
        <v>1184</v>
      </c>
      <c r="N199" s="2" t="s">
        <v>28</v>
      </c>
      <c r="O199" s="2" t="s">
        <v>50</v>
      </c>
    </row>
    <row r="200" customFormat="false" ht="15" hidden="false" customHeight="false" outlineLevel="0" collapsed="false">
      <c r="A200" s="2" t="s">
        <v>254</v>
      </c>
      <c r="B200" s="3" t="n">
        <v>45740</v>
      </c>
      <c r="C200" s="2" t="s">
        <v>41</v>
      </c>
      <c r="D200" s="2" t="s">
        <v>66</v>
      </c>
      <c r="E200" s="2" t="s">
        <v>26</v>
      </c>
      <c r="F200" s="4" t="str">
        <f aca="false">INDEX(Products!$B$2:$B$9,MATCH(E200,Products!$A$2:$A$9,0))</f>
        <v>Analytics Basic</v>
      </c>
      <c r="G200" s="4" t="str">
        <f aca="false">INDEX(Products!$C$2:$C$9,MATCH(E200,Products!$A$2:$A$9,0))</f>
        <v>Software</v>
      </c>
      <c r="H200" s="5" t="n">
        <v>1</v>
      </c>
      <c r="I200" s="6" t="n">
        <f aca="false">INDEX(Products!$D$2:$D$9,MATCH(E200,Products!$A$2:$A$9,0))</f>
        <v>120</v>
      </c>
      <c r="J200" s="7" t="n">
        <v>0.15</v>
      </c>
      <c r="K200" s="8" t="n">
        <f aca="false">H200*I200*(1-J200)</f>
        <v>102</v>
      </c>
      <c r="L200" s="6" t="n">
        <f aca="false">H200*INDEX(Products!$E$2:$E$9,MATCH(E200,Products!$A$2:$A$9,0))</f>
        <v>18</v>
      </c>
      <c r="M200" s="8" t="n">
        <f aca="false">K200-L200</f>
        <v>84</v>
      </c>
      <c r="N200" s="2" t="s">
        <v>19</v>
      </c>
      <c r="O200" s="2" t="s">
        <v>43</v>
      </c>
    </row>
    <row r="201" customFormat="false" ht="15" hidden="false" customHeight="false" outlineLevel="0" collapsed="false">
      <c r="A201" s="2" t="s">
        <v>255</v>
      </c>
      <c r="B201" s="3" t="n">
        <v>45740</v>
      </c>
      <c r="C201" s="2" t="s">
        <v>30</v>
      </c>
      <c r="D201" s="2" t="s">
        <v>128</v>
      </c>
      <c r="E201" s="2" t="s">
        <v>68</v>
      </c>
      <c r="F201" s="4" t="str">
        <f aca="false">INDEX(Products!$B$2:$B$9,MATCH(E201,Products!$A$2:$A$9,0))</f>
        <v>Premium Support</v>
      </c>
      <c r="G201" s="4" t="str">
        <f aca="false">INDEX(Products!$C$2:$C$9,MATCH(E201,Products!$A$2:$A$9,0))</f>
        <v>Services</v>
      </c>
      <c r="H201" s="5" t="n">
        <v>1</v>
      </c>
      <c r="I201" s="6" t="n">
        <f aca="false">INDEX(Products!$D$2:$D$9,MATCH(E201,Products!$A$2:$A$9,0))</f>
        <v>600</v>
      </c>
      <c r="J201" s="7" t="n">
        <v>0</v>
      </c>
      <c r="K201" s="8" t="n">
        <f aca="false">H201*I201*(1-J201)</f>
        <v>600</v>
      </c>
      <c r="L201" s="6" t="n">
        <f aca="false">H201*INDEX(Products!$E$2:$E$9,MATCH(E201,Products!$A$2:$A$9,0))</f>
        <v>395</v>
      </c>
      <c r="M201" s="8" t="n">
        <f aca="false">K201-L201</f>
        <v>205</v>
      </c>
      <c r="N201" s="2" t="s">
        <v>38</v>
      </c>
      <c r="O201" s="2" t="s">
        <v>33</v>
      </c>
    </row>
    <row r="202" customFormat="false" ht="15" hidden="false" customHeight="false" outlineLevel="0" collapsed="false">
      <c r="A202" s="2" t="s">
        <v>256</v>
      </c>
      <c r="B202" s="3" t="n">
        <v>45740</v>
      </c>
      <c r="C202" s="2" t="s">
        <v>30</v>
      </c>
      <c r="D202" s="2" t="s">
        <v>31</v>
      </c>
      <c r="E202" s="2" t="s">
        <v>26</v>
      </c>
      <c r="F202" s="4" t="str">
        <f aca="false">INDEX(Products!$B$2:$B$9,MATCH(E202,Products!$A$2:$A$9,0))</f>
        <v>Analytics Basic</v>
      </c>
      <c r="G202" s="4" t="str">
        <f aca="false">INDEX(Products!$C$2:$C$9,MATCH(E202,Products!$A$2:$A$9,0))</f>
        <v>Software</v>
      </c>
      <c r="H202" s="5" t="n">
        <v>1</v>
      </c>
      <c r="I202" s="6" t="n">
        <f aca="false">INDEX(Products!$D$2:$D$9,MATCH(E202,Products!$A$2:$A$9,0))</f>
        <v>120</v>
      </c>
      <c r="J202" s="7" t="n">
        <v>0.15</v>
      </c>
      <c r="K202" s="8" t="n">
        <f aca="false">H202*I202*(1-J202)</f>
        <v>102</v>
      </c>
      <c r="L202" s="6" t="n">
        <f aca="false">H202*INDEX(Products!$E$2:$E$9,MATCH(E202,Products!$A$2:$A$9,0))</f>
        <v>18</v>
      </c>
      <c r="M202" s="8" t="n">
        <f aca="false">K202-L202</f>
        <v>84</v>
      </c>
      <c r="N202" s="2" t="s">
        <v>19</v>
      </c>
      <c r="O202" s="2" t="s">
        <v>33</v>
      </c>
    </row>
    <row r="203" customFormat="false" ht="15" hidden="false" customHeight="false" outlineLevel="0" collapsed="false">
      <c r="A203" s="2" t="s">
        <v>257</v>
      </c>
      <c r="B203" s="3" t="n">
        <v>45740</v>
      </c>
      <c r="C203" s="2" t="s">
        <v>16</v>
      </c>
      <c r="D203" s="2" t="s">
        <v>25</v>
      </c>
      <c r="E203" s="2" t="s">
        <v>23</v>
      </c>
      <c r="F203" s="4" t="str">
        <f aca="false">INDEX(Products!$B$2:$B$9,MATCH(E203,Products!$A$2:$A$9,0))</f>
        <v>Sensor Hub S</v>
      </c>
      <c r="G203" s="4" t="str">
        <f aca="false">INDEX(Products!$C$2:$C$9,MATCH(E203,Products!$A$2:$A$9,0))</f>
        <v>Hardware</v>
      </c>
      <c r="H203" s="5" t="n">
        <v>8</v>
      </c>
      <c r="I203" s="6" t="n">
        <f aca="false">INDEX(Products!$D$2:$D$9,MATCH(E203,Products!$A$2:$A$9,0))</f>
        <v>189</v>
      </c>
      <c r="J203" s="7" t="n">
        <v>0</v>
      </c>
      <c r="K203" s="8" t="n">
        <f aca="false">H203*I203*(1-J203)</f>
        <v>1512</v>
      </c>
      <c r="L203" s="6" t="n">
        <f aca="false">H203*INDEX(Products!$E$2:$E$9,MATCH(E203,Products!$A$2:$A$9,0))</f>
        <v>784</v>
      </c>
      <c r="M203" s="8" t="n">
        <f aca="false">K203-L203</f>
        <v>728</v>
      </c>
      <c r="N203" s="2" t="s">
        <v>38</v>
      </c>
      <c r="O203" s="2" t="s">
        <v>36</v>
      </c>
    </row>
    <row r="204" customFormat="false" ht="15" hidden="false" customHeight="false" outlineLevel="0" collapsed="false">
      <c r="A204" s="2" t="s">
        <v>258</v>
      </c>
      <c r="B204" s="3" t="n">
        <v>45741</v>
      </c>
      <c r="C204" s="2" t="s">
        <v>59</v>
      </c>
      <c r="D204" s="2" t="s">
        <v>91</v>
      </c>
      <c r="E204" s="2" t="s">
        <v>18</v>
      </c>
      <c r="F204" s="4" t="str">
        <f aca="false">INDEX(Products!$B$2:$B$9,MATCH(E204,Products!$A$2:$A$9,0))</f>
        <v>Sensor Hub Pro</v>
      </c>
      <c r="G204" s="4" t="str">
        <f aca="false">INDEX(Products!$C$2:$C$9,MATCH(E204,Products!$A$2:$A$9,0))</f>
        <v>Hardware</v>
      </c>
      <c r="H204" s="5" t="n">
        <v>8</v>
      </c>
      <c r="I204" s="6" t="n">
        <f aca="false">INDEX(Products!$D$2:$D$9,MATCH(E204,Products!$A$2:$A$9,0))</f>
        <v>349</v>
      </c>
      <c r="J204" s="7" t="n">
        <v>0</v>
      </c>
      <c r="K204" s="8" t="n">
        <f aca="false">H204*I204*(1-J204)</f>
        <v>2792</v>
      </c>
      <c r="L204" s="6" t="n">
        <f aca="false">H204*INDEX(Products!$E$2:$E$9,MATCH(E204,Products!$A$2:$A$9,0))</f>
        <v>1608</v>
      </c>
      <c r="M204" s="8" t="n">
        <f aca="false">K204-L204</f>
        <v>1184</v>
      </c>
      <c r="N204" s="2" t="s">
        <v>38</v>
      </c>
      <c r="O204" s="2" t="s">
        <v>62</v>
      </c>
    </row>
    <row r="205" customFormat="false" ht="15" hidden="false" customHeight="false" outlineLevel="0" collapsed="false">
      <c r="A205" s="2" t="s">
        <v>259</v>
      </c>
      <c r="B205" s="3" t="n">
        <v>45741</v>
      </c>
      <c r="C205" s="2" t="s">
        <v>47</v>
      </c>
      <c r="D205" s="2" t="s">
        <v>48</v>
      </c>
      <c r="E205" s="2" t="s">
        <v>57</v>
      </c>
      <c r="F205" s="4" t="str">
        <f aca="false">INDEX(Products!$B$2:$B$9,MATCH(E205,Products!$A$2:$A$9,0))</f>
        <v>Edge Gateway</v>
      </c>
      <c r="G205" s="4" t="str">
        <f aca="false">INDEX(Products!$C$2:$C$9,MATCH(E205,Products!$A$2:$A$9,0))</f>
        <v>Hardware</v>
      </c>
      <c r="H205" s="5" t="n">
        <v>5</v>
      </c>
      <c r="I205" s="6" t="n">
        <f aca="false">INDEX(Products!$D$2:$D$9,MATCH(E205,Products!$A$2:$A$9,0))</f>
        <v>899</v>
      </c>
      <c r="J205" s="7" t="n">
        <v>0</v>
      </c>
      <c r="K205" s="8" t="n">
        <f aca="false">H205*I205*(1-J205)</f>
        <v>4495</v>
      </c>
      <c r="L205" s="6" t="n">
        <f aca="false">H205*INDEX(Products!$E$2:$E$9,MATCH(E205,Products!$A$2:$A$9,0))</f>
        <v>3060</v>
      </c>
      <c r="M205" s="8" t="n">
        <f aca="false">K205-L205</f>
        <v>1435</v>
      </c>
      <c r="N205" s="2" t="s">
        <v>38</v>
      </c>
      <c r="O205" s="2" t="s">
        <v>72</v>
      </c>
    </row>
    <row r="206" customFormat="false" ht="15" hidden="false" customHeight="false" outlineLevel="0" collapsed="false">
      <c r="A206" s="2" t="s">
        <v>260</v>
      </c>
      <c r="B206" s="3" t="n">
        <v>45741</v>
      </c>
      <c r="C206" s="2" t="s">
        <v>47</v>
      </c>
      <c r="D206" s="2" t="s">
        <v>48</v>
      </c>
      <c r="E206" s="2" t="s">
        <v>23</v>
      </c>
      <c r="F206" s="4" t="str">
        <f aca="false">INDEX(Products!$B$2:$B$9,MATCH(E206,Products!$A$2:$A$9,0))</f>
        <v>Sensor Hub S</v>
      </c>
      <c r="G206" s="4" t="str">
        <f aca="false">INDEX(Products!$C$2:$C$9,MATCH(E206,Products!$A$2:$A$9,0))</f>
        <v>Hardware</v>
      </c>
      <c r="H206" s="5" t="n">
        <v>20</v>
      </c>
      <c r="I206" s="6" t="n">
        <f aca="false">INDEX(Products!$D$2:$D$9,MATCH(E206,Products!$A$2:$A$9,0))</f>
        <v>189</v>
      </c>
      <c r="J206" s="7" t="n">
        <v>0</v>
      </c>
      <c r="K206" s="8" t="n">
        <f aca="false">H206*I206*(1-J206)</f>
        <v>3780</v>
      </c>
      <c r="L206" s="6" t="n">
        <f aca="false">H206*INDEX(Products!$E$2:$E$9,MATCH(E206,Products!$A$2:$A$9,0))</f>
        <v>1960</v>
      </c>
      <c r="M206" s="8" t="n">
        <f aca="false">K206-L206</f>
        <v>1820</v>
      </c>
      <c r="N206" s="2" t="s">
        <v>28</v>
      </c>
      <c r="O206" s="2" t="s">
        <v>72</v>
      </c>
    </row>
    <row r="207" customFormat="false" ht="15" hidden="false" customHeight="false" outlineLevel="0" collapsed="false">
      <c r="A207" s="2" t="s">
        <v>261</v>
      </c>
      <c r="B207" s="3" t="n">
        <v>45741</v>
      </c>
      <c r="C207" s="2" t="s">
        <v>16</v>
      </c>
      <c r="D207" s="2" t="s">
        <v>25</v>
      </c>
      <c r="E207" s="2" t="s">
        <v>68</v>
      </c>
      <c r="F207" s="4" t="str">
        <f aca="false">INDEX(Products!$B$2:$B$9,MATCH(E207,Products!$A$2:$A$9,0))</f>
        <v>Premium Support</v>
      </c>
      <c r="G207" s="4" t="str">
        <f aca="false">INDEX(Products!$C$2:$C$9,MATCH(E207,Products!$A$2:$A$9,0))</f>
        <v>Services</v>
      </c>
      <c r="H207" s="5" t="n">
        <v>5</v>
      </c>
      <c r="I207" s="6" t="n">
        <f aca="false">INDEX(Products!$D$2:$D$9,MATCH(E207,Products!$A$2:$A$9,0))</f>
        <v>600</v>
      </c>
      <c r="J207" s="7" t="n">
        <v>0.25</v>
      </c>
      <c r="K207" s="8" t="n">
        <f aca="false">H207*I207*(1-J207)</f>
        <v>2250</v>
      </c>
      <c r="L207" s="6" t="n">
        <f aca="false">H207*INDEX(Products!$E$2:$E$9,MATCH(E207,Products!$A$2:$A$9,0))</f>
        <v>1975</v>
      </c>
      <c r="M207" s="8" t="n">
        <f aca="false">K207-L207</f>
        <v>275</v>
      </c>
      <c r="N207" s="2" t="s">
        <v>19</v>
      </c>
      <c r="O207" s="2" t="s">
        <v>20</v>
      </c>
    </row>
    <row r="208" customFormat="false" ht="15" hidden="false" customHeight="false" outlineLevel="0" collapsed="false">
      <c r="A208" s="2" t="s">
        <v>262</v>
      </c>
      <c r="B208" s="3" t="n">
        <v>45741</v>
      </c>
      <c r="C208" s="2" t="s">
        <v>41</v>
      </c>
      <c r="D208" s="2" t="s">
        <v>42</v>
      </c>
      <c r="E208" s="2" t="s">
        <v>49</v>
      </c>
      <c r="F208" s="4" t="str">
        <f aca="false">INDEX(Products!$B$2:$B$9,MATCH(E208,Products!$A$2:$A$9,0))</f>
        <v>Mounting Kit</v>
      </c>
      <c r="G208" s="4" t="str">
        <f aca="false">INDEX(Products!$C$2:$C$9,MATCH(E208,Products!$A$2:$A$9,0))</f>
        <v>Accessories</v>
      </c>
      <c r="H208" s="5" t="n">
        <v>1</v>
      </c>
      <c r="I208" s="6" t="n">
        <f aca="false">INDEX(Products!$D$2:$D$9,MATCH(E208,Products!$A$2:$A$9,0))</f>
        <v>39</v>
      </c>
      <c r="J208" s="7" t="n">
        <v>0.15</v>
      </c>
      <c r="K208" s="8" t="n">
        <f aca="false">H208*I208*(1-J208)</f>
        <v>33.15</v>
      </c>
      <c r="L208" s="6" t="n">
        <f aca="false">H208*INDEX(Products!$E$2:$E$9,MATCH(E208,Products!$A$2:$A$9,0))</f>
        <v>31.5</v>
      </c>
      <c r="M208" s="8" t="n">
        <f aca="false">K208-L208</f>
        <v>1.65</v>
      </c>
      <c r="N208" s="2" t="s">
        <v>28</v>
      </c>
      <c r="O208" s="2" t="s">
        <v>52</v>
      </c>
    </row>
    <row r="209" customFormat="false" ht="15" hidden="false" customHeight="false" outlineLevel="0" collapsed="false">
      <c r="A209" s="2" t="s">
        <v>263</v>
      </c>
      <c r="B209" s="3" t="n">
        <v>45742</v>
      </c>
      <c r="C209" s="2" t="s">
        <v>47</v>
      </c>
      <c r="D209" s="2" t="s">
        <v>71</v>
      </c>
      <c r="E209" s="2" t="s">
        <v>23</v>
      </c>
      <c r="F209" s="4" t="str">
        <f aca="false">INDEX(Products!$B$2:$B$9,MATCH(E209,Products!$A$2:$A$9,0))</f>
        <v>Sensor Hub S</v>
      </c>
      <c r="G209" s="4" t="str">
        <f aca="false">INDEX(Products!$C$2:$C$9,MATCH(E209,Products!$A$2:$A$9,0))</f>
        <v>Hardware</v>
      </c>
      <c r="H209" s="5" t="n">
        <v>5</v>
      </c>
      <c r="I209" s="6" t="n">
        <f aca="false">INDEX(Products!$D$2:$D$9,MATCH(E209,Products!$A$2:$A$9,0))</f>
        <v>189</v>
      </c>
      <c r="J209" s="7" t="n">
        <v>0.15</v>
      </c>
      <c r="K209" s="8" t="n">
        <f aca="false">H209*I209*(1-J209)</f>
        <v>803.25</v>
      </c>
      <c r="L209" s="6" t="n">
        <f aca="false">H209*INDEX(Products!$E$2:$E$9,MATCH(E209,Products!$A$2:$A$9,0))</f>
        <v>490</v>
      </c>
      <c r="M209" s="8" t="n">
        <f aca="false">K209-L209</f>
        <v>313.25</v>
      </c>
      <c r="N209" s="2" t="s">
        <v>19</v>
      </c>
      <c r="O209" s="2" t="s">
        <v>72</v>
      </c>
    </row>
    <row r="210" customFormat="false" ht="15" hidden="false" customHeight="false" outlineLevel="0" collapsed="false">
      <c r="A210" s="2" t="s">
        <v>264</v>
      </c>
      <c r="B210" s="3" t="n">
        <v>45742</v>
      </c>
      <c r="C210" s="2" t="s">
        <v>16</v>
      </c>
      <c r="D210" s="2" t="s">
        <v>22</v>
      </c>
      <c r="E210" s="2" t="s">
        <v>49</v>
      </c>
      <c r="F210" s="4" t="str">
        <f aca="false">INDEX(Products!$B$2:$B$9,MATCH(E210,Products!$A$2:$A$9,0))</f>
        <v>Mounting Kit</v>
      </c>
      <c r="G210" s="4" t="str">
        <f aca="false">INDEX(Products!$C$2:$C$9,MATCH(E210,Products!$A$2:$A$9,0))</f>
        <v>Accessories</v>
      </c>
      <c r="H210" s="5" t="n">
        <v>12</v>
      </c>
      <c r="I210" s="6" t="n">
        <f aca="false">INDEX(Products!$D$2:$D$9,MATCH(E210,Products!$A$2:$A$9,0))</f>
        <v>39</v>
      </c>
      <c r="J210" s="7" t="n">
        <v>0.2</v>
      </c>
      <c r="K210" s="8" t="n">
        <f aca="false">H210*I210*(1-J210)</f>
        <v>374.4</v>
      </c>
      <c r="L210" s="6" t="n">
        <f aca="false">H210*INDEX(Products!$E$2:$E$9,MATCH(E210,Products!$A$2:$A$9,0))</f>
        <v>378</v>
      </c>
      <c r="M210" s="8" t="n">
        <f aca="false">K210-L210</f>
        <v>-3.59999999999997</v>
      </c>
      <c r="N210" s="2" t="s">
        <v>19</v>
      </c>
      <c r="O210" s="2" t="s">
        <v>36</v>
      </c>
    </row>
    <row r="211" customFormat="false" ht="15" hidden="false" customHeight="false" outlineLevel="0" collapsed="false">
      <c r="A211" s="2" t="s">
        <v>265</v>
      </c>
      <c r="B211" s="3" t="n">
        <v>45742</v>
      </c>
      <c r="C211" s="2" t="s">
        <v>16</v>
      </c>
      <c r="D211" s="2" t="s">
        <v>22</v>
      </c>
      <c r="E211" s="2" t="s">
        <v>23</v>
      </c>
      <c r="F211" s="4" t="str">
        <f aca="false">INDEX(Products!$B$2:$B$9,MATCH(E211,Products!$A$2:$A$9,0))</f>
        <v>Sensor Hub S</v>
      </c>
      <c r="G211" s="4" t="str">
        <f aca="false">INDEX(Products!$C$2:$C$9,MATCH(E211,Products!$A$2:$A$9,0))</f>
        <v>Hardware</v>
      </c>
      <c r="H211" s="5" t="n">
        <v>4</v>
      </c>
      <c r="I211" s="6" t="n">
        <f aca="false">INDEX(Products!$D$2:$D$9,MATCH(E211,Products!$A$2:$A$9,0))</f>
        <v>189</v>
      </c>
      <c r="J211" s="7" t="n">
        <v>0.05</v>
      </c>
      <c r="K211" s="8" t="n">
        <f aca="false">H211*I211*(1-J211)</f>
        <v>718.2</v>
      </c>
      <c r="L211" s="6" t="n">
        <f aca="false">H211*INDEX(Products!$E$2:$E$9,MATCH(E211,Products!$A$2:$A$9,0))</f>
        <v>392</v>
      </c>
      <c r="M211" s="8" t="n">
        <f aca="false">K211-L211</f>
        <v>326.2</v>
      </c>
      <c r="N211" s="2" t="s">
        <v>28</v>
      </c>
      <c r="O211" s="2" t="s">
        <v>36</v>
      </c>
    </row>
    <row r="212" customFormat="false" ht="15" hidden="false" customHeight="false" outlineLevel="0" collapsed="false">
      <c r="A212" s="2" t="s">
        <v>266</v>
      </c>
      <c r="B212" s="3" t="n">
        <v>45742</v>
      </c>
      <c r="C212" s="2" t="s">
        <v>47</v>
      </c>
      <c r="D212" s="2" t="s">
        <v>55</v>
      </c>
      <c r="E212" s="2" t="s">
        <v>57</v>
      </c>
      <c r="F212" s="4" t="str">
        <f aca="false">INDEX(Products!$B$2:$B$9,MATCH(E212,Products!$A$2:$A$9,0))</f>
        <v>Edge Gateway</v>
      </c>
      <c r="G212" s="4" t="str">
        <f aca="false">INDEX(Products!$C$2:$C$9,MATCH(E212,Products!$A$2:$A$9,0))</f>
        <v>Hardware</v>
      </c>
      <c r="H212" s="5" t="n">
        <v>10</v>
      </c>
      <c r="I212" s="6" t="n">
        <f aca="false">INDEX(Products!$D$2:$D$9,MATCH(E212,Products!$A$2:$A$9,0))</f>
        <v>899</v>
      </c>
      <c r="J212" s="7" t="n">
        <v>0.25</v>
      </c>
      <c r="K212" s="8" t="n">
        <f aca="false">H212*I212*(1-J212)</f>
        <v>6742.5</v>
      </c>
      <c r="L212" s="6" t="n">
        <f aca="false">H212*INDEX(Products!$E$2:$E$9,MATCH(E212,Products!$A$2:$A$9,0))</f>
        <v>6120</v>
      </c>
      <c r="M212" s="8" t="n">
        <f aca="false">K212-L212</f>
        <v>622.5</v>
      </c>
      <c r="N212" s="2" t="s">
        <v>19</v>
      </c>
      <c r="O212" s="2" t="s">
        <v>50</v>
      </c>
    </row>
    <row r="213" customFormat="false" ht="15" hidden="false" customHeight="false" outlineLevel="0" collapsed="false">
      <c r="A213" s="2" t="s">
        <v>267</v>
      </c>
      <c r="B213" s="3" t="n">
        <v>45743</v>
      </c>
      <c r="C213" s="2" t="s">
        <v>30</v>
      </c>
      <c r="D213" s="2" t="s">
        <v>128</v>
      </c>
      <c r="E213" s="2" t="s">
        <v>23</v>
      </c>
      <c r="F213" s="4" t="str">
        <f aca="false">INDEX(Products!$B$2:$B$9,MATCH(E213,Products!$A$2:$A$9,0))</f>
        <v>Sensor Hub S</v>
      </c>
      <c r="G213" s="4" t="str">
        <f aca="false">INDEX(Products!$C$2:$C$9,MATCH(E213,Products!$A$2:$A$9,0))</f>
        <v>Hardware</v>
      </c>
      <c r="H213" s="5" t="n">
        <v>5</v>
      </c>
      <c r="I213" s="6" t="n">
        <f aca="false">INDEX(Products!$D$2:$D$9,MATCH(E213,Products!$A$2:$A$9,0))</f>
        <v>189</v>
      </c>
      <c r="J213" s="7" t="n">
        <v>0</v>
      </c>
      <c r="K213" s="8" t="n">
        <f aca="false">H213*I213*(1-J213)</f>
        <v>945</v>
      </c>
      <c r="L213" s="6" t="n">
        <f aca="false">H213*INDEX(Products!$E$2:$E$9,MATCH(E213,Products!$A$2:$A$9,0))</f>
        <v>490</v>
      </c>
      <c r="M213" s="8" t="n">
        <f aca="false">K213-L213</f>
        <v>455</v>
      </c>
      <c r="N213" s="2" t="s">
        <v>38</v>
      </c>
      <c r="O213" s="2" t="s">
        <v>64</v>
      </c>
    </row>
    <row r="214" customFormat="false" ht="15" hidden="false" customHeight="false" outlineLevel="0" collapsed="false">
      <c r="A214" s="2" t="s">
        <v>268</v>
      </c>
      <c r="B214" s="3" t="n">
        <v>45743</v>
      </c>
      <c r="C214" s="2" t="s">
        <v>47</v>
      </c>
      <c r="D214" s="2" t="s">
        <v>55</v>
      </c>
      <c r="E214" s="2" t="s">
        <v>23</v>
      </c>
      <c r="F214" s="4" t="str">
        <f aca="false">INDEX(Products!$B$2:$B$9,MATCH(E214,Products!$A$2:$A$9,0))</f>
        <v>Sensor Hub S</v>
      </c>
      <c r="G214" s="4" t="str">
        <f aca="false">INDEX(Products!$C$2:$C$9,MATCH(E214,Products!$A$2:$A$9,0))</f>
        <v>Hardware</v>
      </c>
      <c r="H214" s="5" t="n">
        <v>2</v>
      </c>
      <c r="I214" s="6" t="n">
        <f aca="false">INDEX(Products!$D$2:$D$9,MATCH(E214,Products!$A$2:$A$9,0))</f>
        <v>189</v>
      </c>
      <c r="J214" s="7" t="n">
        <v>0.2</v>
      </c>
      <c r="K214" s="8" t="n">
        <f aca="false">H214*I214*(1-J214)</f>
        <v>302.4</v>
      </c>
      <c r="L214" s="6" t="n">
        <f aca="false">H214*INDEX(Products!$E$2:$E$9,MATCH(E214,Products!$A$2:$A$9,0))</f>
        <v>196</v>
      </c>
      <c r="M214" s="8" t="n">
        <f aca="false">K214-L214</f>
        <v>106.4</v>
      </c>
      <c r="N214" s="2" t="s">
        <v>19</v>
      </c>
      <c r="O214" s="2" t="s">
        <v>50</v>
      </c>
    </row>
    <row r="215" customFormat="false" ht="15" hidden="false" customHeight="false" outlineLevel="0" collapsed="false">
      <c r="A215" s="2" t="s">
        <v>269</v>
      </c>
      <c r="B215" s="3" t="n">
        <v>45743</v>
      </c>
      <c r="C215" s="2" t="s">
        <v>16</v>
      </c>
      <c r="D215" s="2" t="s">
        <v>25</v>
      </c>
      <c r="E215" s="2" t="s">
        <v>57</v>
      </c>
      <c r="F215" s="4" t="str">
        <f aca="false">INDEX(Products!$B$2:$B$9,MATCH(E215,Products!$A$2:$A$9,0))</f>
        <v>Edge Gateway</v>
      </c>
      <c r="G215" s="4" t="str">
        <f aca="false">INDEX(Products!$C$2:$C$9,MATCH(E215,Products!$A$2:$A$9,0))</f>
        <v>Hardware</v>
      </c>
      <c r="H215" s="5" t="n">
        <v>4</v>
      </c>
      <c r="I215" s="6" t="n">
        <f aca="false">INDEX(Products!$D$2:$D$9,MATCH(E215,Products!$A$2:$A$9,0))</f>
        <v>899</v>
      </c>
      <c r="J215" s="7" t="n">
        <v>0.1</v>
      </c>
      <c r="K215" s="8" t="n">
        <f aca="false">H215*I215*(1-J215)</f>
        <v>3236.4</v>
      </c>
      <c r="L215" s="6" t="n">
        <f aca="false">H215*INDEX(Products!$E$2:$E$9,MATCH(E215,Products!$A$2:$A$9,0))</f>
        <v>2448</v>
      </c>
      <c r="M215" s="8" t="n">
        <f aca="false">K215-L215</f>
        <v>788.4</v>
      </c>
      <c r="N215" s="2" t="s">
        <v>19</v>
      </c>
      <c r="O215" s="2" t="s">
        <v>20</v>
      </c>
    </row>
    <row r="216" customFormat="false" ht="15" hidden="false" customHeight="false" outlineLevel="0" collapsed="false">
      <c r="A216" s="2" t="s">
        <v>270</v>
      </c>
      <c r="B216" s="3" t="n">
        <v>45743</v>
      </c>
      <c r="C216" s="2" t="s">
        <v>41</v>
      </c>
      <c r="D216" s="2" t="s">
        <v>42</v>
      </c>
      <c r="E216" s="2" t="s">
        <v>68</v>
      </c>
      <c r="F216" s="4" t="str">
        <f aca="false">INDEX(Products!$B$2:$B$9,MATCH(E216,Products!$A$2:$A$9,0))</f>
        <v>Premium Support</v>
      </c>
      <c r="G216" s="4" t="str">
        <f aca="false">INDEX(Products!$C$2:$C$9,MATCH(E216,Products!$A$2:$A$9,0))</f>
        <v>Services</v>
      </c>
      <c r="H216" s="5" t="n">
        <v>1</v>
      </c>
      <c r="I216" s="6" t="n">
        <f aca="false">INDEX(Products!$D$2:$D$9,MATCH(E216,Products!$A$2:$A$9,0))</f>
        <v>600</v>
      </c>
      <c r="J216" s="7" t="n">
        <v>0.15</v>
      </c>
      <c r="K216" s="8" t="n">
        <f aca="false">H216*I216*(1-J216)</f>
        <v>510</v>
      </c>
      <c r="L216" s="6" t="n">
        <f aca="false">H216*INDEX(Products!$E$2:$E$9,MATCH(E216,Products!$A$2:$A$9,0))</f>
        <v>395</v>
      </c>
      <c r="M216" s="8" t="n">
        <f aca="false">K216-L216</f>
        <v>115</v>
      </c>
      <c r="N216" s="2" t="s">
        <v>19</v>
      </c>
      <c r="O216" s="2" t="s">
        <v>52</v>
      </c>
    </row>
    <row r="217" customFormat="false" ht="15" hidden="false" customHeight="false" outlineLevel="0" collapsed="false">
      <c r="A217" s="2" t="s">
        <v>271</v>
      </c>
      <c r="B217" s="3" t="n">
        <v>45744</v>
      </c>
      <c r="C217" s="2" t="s">
        <v>30</v>
      </c>
      <c r="D217" s="2" t="s">
        <v>128</v>
      </c>
      <c r="E217" s="2" t="s">
        <v>18</v>
      </c>
      <c r="F217" s="4" t="str">
        <f aca="false">INDEX(Products!$B$2:$B$9,MATCH(E217,Products!$A$2:$A$9,0))</f>
        <v>Sensor Hub Pro</v>
      </c>
      <c r="G217" s="4" t="str">
        <f aca="false">INDEX(Products!$C$2:$C$9,MATCH(E217,Products!$A$2:$A$9,0))</f>
        <v>Hardware</v>
      </c>
      <c r="H217" s="5" t="n">
        <v>3</v>
      </c>
      <c r="I217" s="6" t="n">
        <f aca="false">INDEX(Products!$D$2:$D$9,MATCH(E217,Products!$A$2:$A$9,0))</f>
        <v>349</v>
      </c>
      <c r="J217" s="7" t="n">
        <v>0.25</v>
      </c>
      <c r="K217" s="8" t="n">
        <f aca="false">H217*I217*(1-J217)</f>
        <v>785.25</v>
      </c>
      <c r="L217" s="6" t="n">
        <f aca="false">H217*INDEX(Products!$E$2:$E$9,MATCH(E217,Products!$A$2:$A$9,0))</f>
        <v>603</v>
      </c>
      <c r="M217" s="8" t="n">
        <f aca="false">K217-L217</f>
        <v>182.25</v>
      </c>
      <c r="N217" s="2" t="s">
        <v>19</v>
      </c>
      <c r="O217" s="2" t="s">
        <v>33</v>
      </c>
    </row>
    <row r="218" customFormat="false" ht="15" hidden="false" customHeight="false" outlineLevel="0" collapsed="false">
      <c r="A218" s="2" t="s">
        <v>272</v>
      </c>
      <c r="B218" s="3" t="n">
        <v>45744</v>
      </c>
      <c r="C218" s="2" t="s">
        <v>16</v>
      </c>
      <c r="D218" s="2" t="s">
        <v>17</v>
      </c>
      <c r="E218" s="2" t="s">
        <v>61</v>
      </c>
      <c r="F218" s="4" t="str">
        <f aca="false">INDEX(Products!$B$2:$B$9,MATCH(E218,Products!$A$2:$A$9,0))</f>
        <v>Install Service</v>
      </c>
      <c r="G218" s="4" t="str">
        <f aca="false">INDEX(Products!$C$2:$C$9,MATCH(E218,Products!$A$2:$A$9,0))</f>
        <v>Services</v>
      </c>
      <c r="H218" s="5" t="n">
        <v>1</v>
      </c>
      <c r="I218" s="6" t="n">
        <f aca="false">INDEX(Products!$D$2:$D$9,MATCH(E218,Products!$A$2:$A$9,0))</f>
        <v>450</v>
      </c>
      <c r="J218" s="7" t="n">
        <v>0.15</v>
      </c>
      <c r="K218" s="8" t="n">
        <f aca="false">H218*I218*(1-J218)</f>
        <v>382.5</v>
      </c>
      <c r="L218" s="6" t="n">
        <f aca="false">H218*INDEX(Products!$E$2:$E$9,MATCH(E218,Products!$A$2:$A$9,0))</f>
        <v>310</v>
      </c>
      <c r="M218" s="8" t="n">
        <f aca="false">K218-L218</f>
        <v>72.5</v>
      </c>
      <c r="N218" s="2" t="s">
        <v>28</v>
      </c>
      <c r="O218" s="2" t="s">
        <v>20</v>
      </c>
    </row>
    <row r="219" customFormat="false" ht="15" hidden="false" customHeight="false" outlineLevel="0" collapsed="false">
      <c r="A219" s="2" t="s">
        <v>273</v>
      </c>
      <c r="B219" s="3" t="n">
        <v>45744</v>
      </c>
      <c r="C219" s="2" t="s">
        <v>16</v>
      </c>
      <c r="D219" s="2" t="s">
        <v>25</v>
      </c>
      <c r="E219" s="2" t="s">
        <v>61</v>
      </c>
      <c r="F219" s="4" t="str">
        <f aca="false">INDEX(Products!$B$2:$B$9,MATCH(E219,Products!$A$2:$A$9,0))</f>
        <v>Install Service</v>
      </c>
      <c r="G219" s="4" t="str">
        <f aca="false">INDEX(Products!$C$2:$C$9,MATCH(E219,Products!$A$2:$A$9,0))</f>
        <v>Services</v>
      </c>
      <c r="H219" s="5" t="n">
        <v>2</v>
      </c>
      <c r="I219" s="6" t="n">
        <f aca="false">INDEX(Products!$D$2:$D$9,MATCH(E219,Products!$A$2:$A$9,0))</f>
        <v>450</v>
      </c>
      <c r="J219" s="7" t="n">
        <v>0.1</v>
      </c>
      <c r="K219" s="8" t="n">
        <f aca="false">H219*I219*(1-J219)</f>
        <v>810</v>
      </c>
      <c r="L219" s="6" t="n">
        <f aca="false">H219*INDEX(Products!$E$2:$E$9,MATCH(E219,Products!$A$2:$A$9,0))</f>
        <v>620</v>
      </c>
      <c r="M219" s="8" t="n">
        <f aca="false">K219-L219</f>
        <v>190</v>
      </c>
      <c r="N219" s="2" t="s">
        <v>38</v>
      </c>
      <c r="O219" s="2" t="s">
        <v>20</v>
      </c>
    </row>
    <row r="220" customFormat="false" ht="15" hidden="false" customHeight="false" outlineLevel="0" collapsed="false">
      <c r="A220" s="2" t="s">
        <v>274</v>
      </c>
      <c r="B220" s="3" t="n">
        <v>45744</v>
      </c>
      <c r="C220" s="2" t="s">
        <v>47</v>
      </c>
      <c r="D220" s="2" t="s">
        <v>157</v>
      </c>
      <c r="E220" s="2" t="s">
        <v>23</v>
      </c>
      <c r="F220" s="4" t="str">
        <f aca="false">INDEX(Products!$B$2:$B$9,MATCH(E220,Products!$A$2:$A$9,0))</f>
        <v>Sensor Hub S</v>
      </c>
      <c r="G220" s="4" t="str">
        <f aca="false">INDEX(Products!$C$2:$C$9,MATCH(E220,Products!$A$2:$A$9,0))</f>
        <v>Hardware</v>
      </c>
      <c r="H220" s="5" t="n">
        <v>8</v>
      </c>
      <c r="I220" s="6" t="n">
        <f aca="false">INDEX(Products!$D$2:$D$9,MATCH(E220,Products!$A$2:$A$9,0))</f>
        <v>189</v>
      </c>
      <c r="J220" s="7" t="n">
        <v>0.15</v>
      </c>
      <c r="K220" s="8" t="n">
        <f aca="false">H220*I220*(1-J220)</f>
        <v>1285.2</v>
      </c>
      <c r="L220" s="6" t="n">
        <f aca="false">H220*INDEX(Products!$E$2:$E$9,MATCH(E220,Products!$A$2:$A$9,0))</f>
        <v>784</v>
      </c>
      <c r="M220" s="8" t="n">
        <f aca="false">K220-L220</f>
        <v>501.2</v>
      </c>
      <c r="N220" s="2" t="s">
        <v>28</v>
      </c>
      <c r="O220" s="2" t="s">
        <v>72</v>
      </c>
    </row>
    <row r="221" customFormat="false" ht="15" hidden="false" customHeight="false" outlineLevel="0" collapsed="false">
      <c r="A221" s="2" t="s">
        <v>275</v>
      </c>
      <c r="B221" s="3" t="n">
        <v>45747</v>
      </c>
      <c r="C221" s="2" t="s">
        <v>47</v>
      </c>
      <c r="D221" s="2" t="s">
        <v>157</v>
      </c>
      <c r="E221" s="2" t="s">
        <v>18</v>
      </c>
      <c r="F221" s="4" t="str">
        <f aca="false">INDEX(Products!$B$2:$B$9,MATCH(E221,Products!$A$2:$A$9,0))</f>
        <v>Sensor Hub Pro</v>
      </c>
      <c r="G221" s="4" t="str">
        <f aca="false">INDEX(Products!$C$2:$C$9,MATCH(E221,Products!$A$2:$A$9,0))</f>
        <v>Hardware</v>
      </c>
      <c r="H221" s="5" t="n">
        <v>1</v>
      </c>
      <c r="I221" s="6" t="n">
        <f aca="false">INDEX(Products!$D$2:$D$9,MATCH(E221,Products!$A$2:$A$9,0))</f>
        <v>349</v>
      </c>
      <c r="J221" s="7" t="n">
        <v>0</v>
      </c>
      <c r="K221" s="8" t="n">
        <f aca="false">H221*I221*(1-J221)</f>
        <v>349</v>
      </c>
      <c r="L221" s="6" t="n">
        <f aca="false">H221*INDEX(Products!$E$2:$E$9,MATCH(E221,Products!$A$2:$A$9,0))</f>
        <v>201</v>
      </c>
      <c r="M221" s="8" t="n">
        <f aca="false">K221-L221</f>
        <v>148</v>
      </c>
      <c r="N221" s="2" t="s">
        <v>28</v>
      </c>
      <c r="O221" s="2" t="s">
        <v>50</v>
      </c>
    </row>
    <row r="222" customFormat="false" ht="15" hidden="false" customHeight="false" outlineLevel="0" collapsed="false">
      <c r="A222" s="2" t="s">
        <v>276</v>
      </c>
      <c r="B222" s="3" t="n">
        <v>45747</v>
      </c>
      <c r="C222" s="2" t="s">
        <v>41</v>
      </c>
      <c r="D222" s="2" t="s">
        <v>42</v>
      </c>
      <c r="E222" s="2" t="s">
        <v>26</v>
      </c>
      <c r="F222" s="4" t="str">
        <f aca="false">INDEX(Products!$B$2:$B$9,MATCH(E222,Products!$A$2:$A$9,0))</f>
        <v>Analytics Basic</v>
      </c>
      <c r="G222" s="4" t="str">
        <f aca="false">INDEX(Products!$C$2:$C$9,MATCH(E222,Products!$A$2:$A$9,0))</f>
        <v>Software</v>
      </c>
      <c r="H222" s="5" t="n">
        <v>5</v>
      </c>
      <c r="I222" s="6" t="n">
        <f aca="false">INDEX(Products!$D$2:$D$9,MATCH(E222,Products!$A$2:$A$9,0))</f>
        <v>120</v>
      </c>
      <c r="J222" s="7" t="n">
        <v>0.05</v>
      </c>
      <c r="K222" s="8" t="n">
        <f aca="false">H222*I222*(1-J222)</f>
        <v>570</v>
      </c>
      <c r="L222" s="6" t="n">
        <f aca="false">H222*INDEX(Products!$E$2:$E$9,MATCH(E222,Products!$A$2:$A$9,0))</f>
        <v>90</v>
      </c>
      <c r="M222" s="8" t="n">
        <f aca="false">K222-L222</f>
        <v>480</v>
      </c>
      <c r="N222" s="2" t="s">
        <v>28</v>
      </c>
      <c r="O222" s="2" t="s">
        <v>52</v>
      </c>
    </row>
    <row r="223" customFormat="false" ht="15" hidden="false" customHeight="false" outlineLevel="0" collapsed="false">
      <c r="A223" s="2" t="s">
        <v>277</v>
      </c>
      <c r="B223" s="3" t="n">
        <v>45747</v>
      </c>
      <c r="C223" s="2" t="s">
        <v>41</v>
      </c>
      <c r="D223" s="2" t="s">
        <v>42</v>
      </c>
      <c r="E223" s="2" t="s">
        <v>26</v>
      </c>
      <c r="F223" s="4" t="str">
        <f aca="false">INDEX(Products!$B$2:$B$9,MATCH(E223,Products!$A$2:$A$9,0))</f>
        <v>Analytics Basic</v>
      </c>
      <c r="G223" s="4" t="str">
        <f aca="false">INDEX(Products!$C$2:$C$9,MATCH(E223,Products!$A$2:$A$9,0))</f>
        <v>Software</v>
      </c>
      <c r="H223" s="5" t="n">
        <v>5</v>
      </c>
      <c r="I223" s="6" t="n">
        <f aca="false">INDEX(Products!$D$2:$D$9,MATCH(E223,Products!$A$2:$A$9,0))</f>
        <v>120</v>
      </c>
      <c r="J223" s="7" t="n">
        <v>0</v>
      </c>
      <c r="K223" s="8" t="n">
        <f aca="false">H223*I223*(1-J223)</f>
        <v>600</v>
      </c>
      <c r="L223" s="6" t="n">
        <f aca="false">H223*INDEX(Products!$E$2:$E$9,MATCH(E223,Products!$A$2:$A$9,0))</f>
        <v>90</v>
      </c>
      <c r="M223" s="8" t="n">
        <f aca="false">K223-L223</f>
        <v>510</v>
      </c>
      <c r="N223" s="2" t="s">
        <v>38</v>
      </c>
      <c r="O223" s="2" t="s">
        <v>52</v>
      </c>
    </row>
    <row r="224" customFormat="false" ht="15" hidden="false" customHeight="false" outlineLevel="0" collapsed="false">
      <c r="A224" s="2" t="s">
        <v>278</v>
      </c>
      <c r="B224" s="3" t="n">
        <v>45747</v>
      </c>
      <c r="C224" s="2" t="s">
        <v>47</v>
      </c>
      <c r="D224" s="2" t="s">
        <v>48</v>
      </c>
      <c r="E224" s="2" t="s">
        <v>68</v>
      </c>
      <c r="F224" s="4" t="str">
        <f aca="false">INDEX(Products!$B$2:$B$9,MATCH(E224,Products!$A$2:$A$9,0))</f>
        <v>Premium Support</v>
      </c>
      <c r="G224" s="4" t="str">
        <f aca="false">INDEX(Products!$C$2:$C$9,MATCH(E224,Products!$A$2:$A$9,0))</f>
        <v>Services</v>
      </c>
      <c r="H224" s="5" t="n">
        <v>5</v>
      </c>
      <c r="I224" s="6" t="n">
        <f aca="false">INDEX(Products!$D$2:$D$9,MATCH(E224,Products!$A$2:$A$9,0))</f>
        <v>600</v>
      </c>
      <c r="J224" s="7" t="n">
        <v>0</v>
      </c>
      <c r="K224" s="8" t="n">
        <f aca="false">H224*I224*(1-J224)</f>
        <v>3000</v>
      </c>
      <c r="L224" s="6" t="n">
        <f aca="false">H224*INDEX(Products!$E$2:$E$9,MATCH(E224,Products!$A$2:$A$9,0))</f>
        <v>1975</v>
      </c>
      <c r="M224" s="8" t="n">
        <f aca="false">K224-L224</f>
        <v>1025</v>
      </c>
      <c r="N224" s="2" t="s">
        <v>28</v>
      </c>
      <c r="O224" s="2" t="s">
        <v>50</v>
      </c>
    </row>
    <row r="225" customFormat="false" ht="15" hidden="false" customHeight="false" outlineLevel="0" collapsed="false">
      <c r="A225" s="2" t="s">
        <v>279</v>
      </c>
      <c r="B225" s="3" t="n">
        <v>45748</v>
      </c>
      <c r="C225" s="2" t="s">
        <v>41</v>
      </c>
      <c r="D225" s="2" t="s">
        <v>42</v>
      </c>
      <c r="E225" s="2" t="s">
        <v>57</v>
      </c>
      <c r="F225" s="4" t="str">
        <f aca="false">INDEX(Products!$B$2:$B$9,MATCH(E225,Products!$A$2:$A$9,0))</f>
        <v>Edge Gateway</v>
      </c>
      <c r="G225" s="4" t="str">
        <f aca="false">INDEX(Products!$C$2:$C$9,MATCH(E225,Products!$A$2:$A$9,0))</f>
        <v>Hardware</v>
      </c>
      <c r="H225" s="5" t="n">
        <v>5</v>
      </c>
      <c r="I225" s="6" t="n">
        <f aca="false">INDEX(Products!$D$2:$D$9,MATCH(E225,Products!$A$2:$A$9,0))</f>
        <v>899</v>
      </c>
      <c r="J225" s="7" t="n">
        <v>0</v>
      </c>
      <c r="K225" s="8" t="n">
        <f aca="false">H225*I225*(1-J225)</f>
        <v>4495</v>
      </c>
      <c r="L225" s="6" t="n">
        <f aca="false">H225*INDEX(Products!$E$2:$E$9,MATCH(E225,Products!$A$2:$A$9,0))</f>
        <v>3060</v>
      </c>
      <c r="M225" s="8" t="n">
        <f aca="false">K225-L225</f>
        <v>1435</v>
      </c>
      <c r="N225" s="2" t="s">
        <v>38</v>
      </c>
      <c r="O225" s="2" t="s">
        <v>52</v>
      </c>
    </row>
    <row r="226" customFormat="false" ht="15" hidden="false" customHeight="false" outlineLevel="0" collapsed="false">
      <c r="A226" s="2" t="s">
        <v>280</v>
      </c>
      <c r="B226" s="3" t="n">
        <v>45748</v>
      </c>
      <c r="C226" s="2" t="s">
        <v>59</v>
      </c>
      <c r="D226" s="2" t="s">
        <v>91</v>
      </c>
      <c r="E226" s="2" t="s">
        <v>57</v>
      </c>
      <c r="F226" s="4" t="str">
        <f aca="false">INDEX(Products!$B$2:$B$9,MATCH(E226,Products!$A$2:$A$9,0))</f>
        <v>Edge Gateway</v>
      </c>
      <c r="G226" s="4" t="str">
        <f aca="false">INDEX(Products!$C$2:$C$9,MATCH(E226,Products!$A$2:$A$9,0))</f>
        <v>Hardware</v>
      </c>
      <c r="H226" s="5" t="n">
        <v>1</v>
      </c>
      <c r="I226" s="6" t="n">
        <f aca="false">INDEX(Products!$D$2:$D$9,MATCH(E226,Products!$A$2:$A$9,0))</f>
        <v>899</v>
      </c>
      <c r="J226" s="7" t="n">
        <v>0.15</v>
      </c>
      <c r="K226" s="8" t="n">
        <f aca="false">H226*I226*(1-J226)</f>
        <v>764.15</v>
      </c>
      <c r="L226" s="6" t="n">
        <f aca="false">H226*INDEX(Products!$E$2:$E$9,MATCH(E226,Products!$A$2:$A$9,0))</f>
        <v>612</v>
      </c>
      <c r="M226" s="8" t="n">
        <f aca="false">K226-L226</f>
        <v>152.15</v>
      </c>
      <c r="N226" s="2" t="s">
        <v>19</v>
      </c>
      <c r="O226" s="2" t="s">
        <v>62</v>
      </c>
    </row>
    <row r="227" customFormat="false" ht="15" hidden="false" customHeight="false" outlineLevel="0" collapsed="false">
      <c r="A227" s="2" t="s">
        <v>281</v>
      </c>
      <c r="B227" s="3" t="n">
        <v>45748</v>
      </c>
      <c r="C227" s="2" t="s">
        <v>47</v>
      </c>
      <c r="D227" s="2" t="s">
        <v>71</v>
      </c>
      <c r="E227" s="2" t="s">
        <v>18</v>
      </c>
      <c r="F227" s="4" t="str">
        <f aca="false">INDEX(Products!$B$2:$B$9,MATCH(E227,Products!$A$2:$A$9,0))</f>
        <v>Sensor Hub Pro</v>
      </c>
      <c r="G227" s="4" t="str">
        <f aca="false">INDEX(Products!$C$2:$C$9,MATCH(E227,Products!$A$2:$A$9,0))</f>
        <v>Hardware</v>
      </c>
      <c r="H227" s="5" t="n">
        <v>1</v>
      </c>
      <c r="I227" s="6" t="n">
        <f aca="false">INDEX(Products!$D$2:$D$9,MATCH(E227,Products!$A$2:$A$9,0))</f>
        <v>349</v>
      </c>
      <c r="J227" s="7" t="n">
        <v>0</v>
      </c>
      <c r="K227" s="8" t="n">
        <f aca="false">H227*I227*(1-J227)</f>
        <v>349</v>
      </c>
      <c r="L227" s="6" t="n">
        <f aca="false">H227*INDEX(Products!$E$2:$E$9,MATCH(E227,Products!$A$2:$A$9,0))</f>
        <v>201</v>
      </c>
      <c r="M227" s="8" t="n">
        <f aca="false">K227-L227</f>
        <v>148</v>
      </c>
      <c r="N227" s="2" t="s">
        <v>28</v>
      </c>
      <c r="O227" s="2" t="s">
        <v>50</v>
      </c>
    </row>
    <row r="228" customFormat="false" ht="15" hidden="false" customHeight="false" outlineLevel="0" collapsed="false">
      <c r="A228" s="2" t="s">
        <v>282</v>
      </c>
      <c r="B228" s="3" t="n">
        <v>45748</v>
      </c>
      <c r="C228" s="2" t="s">
        <v>30</v>
      </c>
      <c r="D228" s="2" t="s">
        <v>128</v>
      </c>
      <c r="E228" s="2" t="s">
        <v>23</v>
      </c>
      <c r="F228" s="4" t="str">
        <f aca="false">INDEX(Products!$B$2:$B$9,MATCH(E228,Products!$A$2:$A$9,0))</f>
        <v>Sensor Hub S</v>
      </c>
      <c r="G228" s="4" t="str">
        <f aca="false">INDEX(Products!$C$2:$C$9,MATCH(E228,Products!$A$2:$A$9,0))</f>
        <v>Hardware</v>
      </c>
      <c r="H228" s="5" t="n">
        <v>3</v>
      </c>
      <c r="I228" s="6" t="n">
        <f aca="false">INDEX(Products!$D$2:$D$9,MATCH(E228,Products!$A$2:$A$9,0))</f>
        <v>189</v>
      </c>
      <c r="J228" s="7" t="n">
        <v>0.1</v>
      </c>
      <c r="K228" s="8" t="n">
        <f aca="false">H228*I228*(1-J228)</f>
        <v>510.3</v>
      </c>
      <c r="L228" s="6" t="n">
        <f aca="false">H228*INDEX(Products!$E$2:$E$9,MATCH(E228,Products!$A$2:$A$9,0))</f>
        <v>294</v>
      </c>
      <c r="M228" s="8" t="n">
        <f aca="false">K228-L228</f>
        <v>216.3</v>
      </c>
      <c r="N228" s="2" t="s">
        <v>19</v>
      </c>
      <c r="O228" s="2" t="s">
        <v>33</v>
      </c>
    </row>
    <row r="229" customFormat="false" ht="15" hidden="false" customHeight="false" outlineLevel="0" collapsed="false">
      <c r="A229" s="2" t="s">
        <v>283</v>
      </c>
      <c r="B229" s="3" t="n">
        <v>45749</v>
      </c>
      <c r="C229" s="2" t="s">
        <v>41</v>
      </c>
      <c r="D229" s="2" t="s">
        <v>42</v>
      </c>
      <c r="E229" s="2" t="s">
        <v>49</v>
      </c>
      <c r="F229" s="4" t="str">
        <f aca="false">INDEX(Products!$B$2:$B$9,MATCH(E229,Products!$A$2:$A$9,0))</f>
        <v>Mounting Kit</v>
      </c>
      <c r="G229" s="4" t="str">
        <f aca="false">INDEX(Products!$C$2:$C$9,MATCH(E229,Products!$A$2:$A$9,0))</f>
        <v>Accessories</v>
      </c>
      <c r="H229" s="5" t="n">
        <v>2</v>
      </c>
      <c r="I229" s="6" t="n">
        <f aca="false">INDEX(Products!$D$2:$D$9,MATCH(E229,Products!$A$2:$A$9,0))</f>
        <v>39</v>
      </c>
      <c r="J229" s="7" t="n">
        <v>0.15</v>
      </c>
      <c r="K229" s="8" t="n">
        <f aca="false">H229*I229*(1-J229)</f>
        <v>66.3</v>
      </c>
      <c r="L229" s="6" t="n">
        <f aca="false">H229*INDEX(Products!$E$2:$E$9,MATCH(E229,Products!$A$2:$A$9,0))</f>
        <v>63</v>
      </c>
      <c r="M229" s="8" t="n">
        <f aca="false">K229-L229</f>
        <v>3.3</v>
      </c>
      <c r="N229" s="2" t="s">
        <v>28</v>
      </c>
      <c r="O229" s="2" t="s">
        <v>52</v>
      </c>
    </row>
    <row r="230" customFormat="false" ht="15" hidden="false" customHeight="false" outlineLevel="0" collapsed="false">
      <c r="A230" s="2" t="s">
        <v>284</v>
      </c>
      <c r="B230" s="3" t="n">
        <v>45749</v>
      </c>
      <c r="C230" s="2" t="s">
        <v>16</v>
      </c>
      <c r="D230" s="2" t="s">
        <v>35</v>
      </c>
      <c r="E230" s="2" t="s">
        <v>61</v>
      </c>
      <c r="F230" s="4" t="str">
        <f aca="false">INDEX(Products!$B$2:$B$9,MATCH(E230,Products!$A$2:$A$9,0))</f>
        <v>Install Service</v>
      </c>
      <c r="G230" s="4" t="str">
        <f aca="false">INDEX(Products!$C$2:$C$9,MATCH(E230,Products!$A$2:$A$9,0))</f>
        <v>Services</v>
      </c>
      <c r="H230" s="5" t="n">
        <v>1</v>
      </c>
      <c r="I230" s="6" t="n">
        <f aca="false">INDEX(Products!$D$2:$D$9,MATCH(E230,Products!$A$2:$A$9,0))</f>
        <v>450</v>
      </c>
      <c r="J230" s="7" t="n">
        <v>0.25</v>
      </c>
      <c r="K230" s="8" t="n">
        <f aca="false">H230*I230*(1-J230)</f>
        <v>337.5</v>
      </c>
      <c r="L230" s="6" t="n">
        <f aca="false">H230*INDEX(Products!$E$2:$E$9,MATCH(E230,Products!$A$2:$A$9,0))</f>
        <v>310</v>
      </c>
      <c r="M230" s="8" t="n">
        <f aca="false">K230-L230</f>
        <v>27.5</v>
      </c>
      <c r="N230" s="2" t="s">
        <v>19</v>
      </c>
      <c r="O230" s="2" t="s">
        <v>20</v>
      </c>
    </row>
    <row r="231" customFormat="false" ht="15" hidden="false" customHeight="false" outlineLevel="0" collapsed="false">
      <c r="A231" s="2" t="s">
        <v>285</v>
      </c>
      <c r="B231" s="3" t="n">
        <v>45749</v>
      </c>
      <c r="C231" s="2" t="s">
        <v>41</v>
      </c>
      <c r="D231" s="2" t="s">
        <v>42</v>
      </c>
      <c r="E231" s="2" t="s">
        <v>26</v>
      </c>
      <c r="F231" s="4" t="str">
        <f aca="false">INDEX(Products!$B$2:$B$9,MATCH(E231,Products!$A$2:$A$9,0))</f>
        <v>Analytics Basic</v>
      </c>
      <c r="G231" s="4" t="str">
        <f aca="false">INDEX(Products!$C$2:$C$9,MATCH(E231,Products!$A$2:$A$9,0))</f>
        <v>Software</v>
      </c>
      <c r="H231" s="5" t="n">
        <v>1</v>
      </c>
      <c r="I231" s="6" t="n">
        <f aca="false">INDEX(Products!$D$2:$D$9,MATCH(E231,Products!$A$2:$A$9,0))</f>
        <v>120</v>
      </c>
      <c r="J231" s="7" t="n">
        <v>0.15</v>
      </c>
      <c r="K231" s="8" t="n">
        <f aca="false">H231*I231*(1-J231)</f>
        <v>102</v>
      </c>
      <c r="L231" s="6" t="n">
        <f aca="false">H231*INDEX(Products!$E$2:$E$9,MATCH(E231,Products!$A$2:$A$9,0))</f>
        <v>18</v>
      </c>
      <c r="M231" s="8" t="n">
        <f aca="false">K231-L231</f>
        <v>84</v>
      </c>
      <c r="N231" s="2" t="s">
        <v>38</v>
      </c>
      <c r="O231" s="2" t="s">
        <v>43</v>
      </c>
    </row>
    <row r="232" customFormat="false" ht="15" hidden="false" customHeight="false" outlineLevel="0" collapsed="false">
      <c r="A232" s="2" t="s">
        <v>286</v>
      </c>
      <c r="B232" s="3" t="n">
        <v>45750</v>
      </c>
      <c r="C232" s="2" t="s">
        <v>16</v>
      </c>
      <c r="D232" s="2" t="s">
        <v>17</v>
      </c>
      <c r="E232" s="2" t="s">
        <v>18</v>
      </c>
      <c r="F232" s="4" t="str">
        <f aca="false">INDEX(Products!$B$2:$B$9,MATCH(E232,Products!$A$2:$A$9,0))</f>
        <v>Sensor Hub Pro</v>
      </c>
      <c r="G232" s="4" t="str">
        <f aca="false">INDEX(Products!$C$2:$C$9,MATCH(E232,Products!$A$2:$A$9,0))</f>
        <v>Hardware</v>
      </c>
      <c r="H232" s="5" t="n">
        <v>2</v>
      </c>
      <c r="I232" s="6" t="n">
        <f aca="false">INDEX(Products!$D$2:$D$9,MATCH(E232,Products!$A$2:$A$9,0))</f>
        <v>349</v>
      </c>
      <c r="J232" s="7" t="n">
        <v>0.05</v>
      </c>
      <c r="K232" s="8" t="n">
        <f aca="false">H232*I232*(1-J232)</f>
        <v>663.1</v>
      </c>
      <c r="L232" s="6" t="n">
        <f aca="false">H232*INDEX(Products!$E$2:$E$9,MATCH(E232,Products!$A$2:$A$9,0))</f>
        <v>402</v>
      </c>
      <c r="M232" s="8" t="n">
        <f aca="false">K232-L232</f>
        <v>261.1</v>
      </c>
      <c r="N232" s="2" t="s">
        <v>28</v>
      </c>
      <c r="O232" s="2" t="s">
        <v>20</v>
      </c>
    </row>
    <row r="233" customFormat="false" ht="15" hidden="false" customHeight="false" outlineLevel="0" collapsed="false">
      <c r="A233" s="2" t="s">
        <v>287</v>
      </c>
      <c r="B233" s="3" t="n">
        <v>45750</v>
      </c>
      <c r="C233" s="2" t="s">
        <v>47</v>
      </c>
      <c r="D233" s="2" t="s">
        <v>55</v>
      </c>
      <c r="E233" s="2" t="s">
        <v>57</v>
      </c>
      <c r="F233" s="4" t="str">
        <f aca="false">INDEX(Products!$B$2:$B$9,MATCH(E233,Products!$A$2:$A$9,0))</f>
        <v>Edge Gateway</v>
      </c>
      <c r="G233" s="4" t="str">
        <f aca="false">INDEX(Products!$C$2:$C$9,MATCH(E233,Products!$A$2:$A$9,0))</f>
        <v>Hardware</v>
      </c>
      <c r="H233" s="5" t="n">
        <v>10</v>
      </c>
      <c r="I233" s="6" t="n">
        <f aca="false">INDEX(Products!$D$2:$D$9,MATCH(E233,Products!$A$2:$A$9,0))</f>
        <v>899</v>
      </c>
      <c r="J233" s="7" t="n">
        <v>0</v>
      </c>
      <c r="K233" s="8" t="n">
        <f aca="false">H233*I233*(1-J233)</f>
        <v>8990</v>
      </c>
      <c r="L233" s="6" t="n">
        <f aca="false">H233*INDEX(Products!$E$2:$E$9,MATCH(E233,Products!$A$2:$A$9,0))</f>
        <v>6120</v>
      </c>
      <c r="M233" s="8" t="n">
        <f aca="false">K233-L233</f>
        <v>2870</v>
      </c>
      <c r="N233" s="2" t="s">
        <v>28</v>
      </c>
      <c r="O233" s="2" t="s">
        <v>50</v>
      </c>
    </row>
    <row r="234" customFormat="false" ht="15" hidden="false" customHeight="false" outlineLevel="0" collapsed="false">
      <c r="A234" s="2" t="s">
        <v>288</v>
      </c>
      <c r="B234" s="3" t="n">
        <v>45750</v>
      </c>
      <c r="C234" s="2" t="s">
        <v>47</v>
      </c>
      <c r="D234" s="2" t="s">
        <v>71</v>
      </c>
      <c r="E234" s="2" t="s">
        <v>61</v>
      </c>
      <c r="F234" s="4" t="str">
        <f aca="false">INDEX(Products!$B$2:$B$9,MATCH(E234,Products!$A$2:$A$9,0))</f>
        <v>Install Service</v>
      </c>
      <c r="G234" s="4" t="str">
        <f aca="false">INDEX(Products!$C$2:$C$9,MATCH(E234,Products!$A$2:$A$9,0))</f>
        <v>Services</v>
      </c>
      <c r="H234" s="5" t="n">
        <v>2</v>
      </c>
      <c r="I234" s="6" t="n">
        <f aca="false">INDEX(Products!$D$2:$D$9,MATCH(E234,Products!$A$2:$A$9,0))</f>
        <v>450</v>
      </c>
      <c r="J234" s="7" t="n">
        <v>0.25</v>
      </c>
      <c r="K234" s="8" t="n">
        <f aca="false">H234*I234*(1-J234)</f>
        <v>675</v>
      </c>
      <c r="L234" s="6" t="n">
        <f aca="false">H234*INDEX(Products!$E$2:$E$9,MATCH(E234,Products!$A$2:$A$9,0))</f>
        <v>620</v>
      </c>
      <c r="M234" s="8" t="n">
        <f aca="false">K234-L234</f>
        <v>55</v>
      </c>
      <c r="N234" s="2" t="s">
        <v>19</v>
      </c>
      <c r="O234" s="2" t="s">
        <v>72</v>
      </c>
    </row>
    <row r="235" customFormat="false" ht="15" hidden="false" customHeight="false" outlineLevel="0" collapsed="false">
      <c r="A235" s="2" t="s">
        <v>289</v>
      </c>
      <c r="B235" s="3" t="n">
        <v>45750</v>
      </c>
      <c r="C235" s="2" t="s">
        <v>16</v>
      </c>
      <c r="D235" s="2" t="s">
        <v>35</v>
      </c>
      <c r="E235" s="2" t="s">
        <v>18</v>
      </c>
      <c r="F235" s="4" t="str">
        <f aca="false">INDEX(Products!$B$2:$B$9,MATCH(E235,Products!$A$2:$A$9,0))</f>
        <v>Sensor Hub Pro</v>
      </c>
      <c r="G235" s="4" t="str">
        <f aca="false">INDEX(Products!$C$2:$C$9,MATCH(E235,Products!$A$2:$A$9,0))</f>
        <v>Hardware</v>
      </c>
      <c r="H235" s="5" t="n">
        <v>1</v>
      </c>
      <c r="I235" s="6" t="n">
        <f aca="false">INDEX(Products!$D$2:$D$9,MATCH(E235,Products!$A$2:$A$9,0))</f>
        <v>349</v>
      </c>
      <c r="J235" s="7" t="n">
        <v>0.1</v>
      </c>
      <c r="K235" s="8" t="n">
        <f aca="false">H235*I235*(1-J235)</f>
        <v>314.1</v>
      </c>
      <c r="L235" s="6" t="n">
        <f aca="false">H235*INDEX(Products!$E$2:$E$9,MATCH(E235,Products!$A$2:$A$9,0))</f>
        <v>201</v>
      </c>
      <c r="M235" s="8" t="n">
        <f aca="false">K235-L235</f>
        <v>113.1</v>
      </c>
      <c r="N235" s="2" t="s">
        <v>28</v>
      </c>
      <c r="O235" s="2" t="s">
        <v>36</v>
      </c>
    </row>
    <row r="236" customFormat="false" ht="15" hidden="false" customHeight="false" outlineLevel="0" collapsed="false">
      <c r="A236" s="2" t="s">
        <v>290</v>
      </c>
      <c r="B236" s="3" t="n">
        <v>45751</v>
      </c>
      <c r="C236" s="2" t="s">
        <v>30</v>
      </c>
      <c r="D236" s="2" t="s">
        <v>31</v>
      </c>
      <c r="E236" s="2" t="s">
        <v>61</v>
      </c>
      <c r="F236" s="4" t="str">
        <f aca="false">INDEX(Products!$B$2:$B$9,MATCH(E236,Products!$A$2:$A$9,0))</f>
        <v>Install Service</v>
      </c>
      <c r="G236" s="4" t="str">
        <f aca="false">INDEX(Products!$C$2:$C$9,MATCH(E236,Products!$A$2:$A$9,0))</f>
        <v>Services</v>
      </c>
      <c r="H236" s="5" t="n">
        <v>5</v>
      </c>
      <c r="I236" s="6" t="n">
        <f aca="false">INDEX(Products!$D$2:$D$9,MATCH(E236,Products!$A$2:$A$9,0))</f>
        <v>450</v>
      </c>
      <c r="J236" s="7" t="n">
        <v>0.25</v>
      </c>
      <c r="K236" s="8" t="n">
        <f aca="false">H236*I236*(1-J236)</f>
        <v>1687.5</v>
      </c>
      <c r="L236" s="6" t="n">
        <f aca="false">H236*INDEX(Products!$E$2:$E$9,MATCH(E236,Products!$A$2:$A$9,0))</f>
        <v>1550</v>
      </c>
      <c r="M236" s="8" t="n">
        <f aca="false">K236-L236</f>
        <v>137.5</v>
      </c>
      <c r="N236" s="2" t="s">
        <v>19</v>
      </c>
      <c r="O236" s="2" t="s">
        <v>33</v>
      </c>
    </row>
    <row r="237" customFormat="false" ht="15" hidden="false" customHeight="false" outlineLevel="0" collapsed="false">
      <c r="A237" s="2" t="s">
        <v>291</v>
      </c>
      <c r="B237" s="3" t="n">
        <v>45751</v>
      </c>
      <c r="C237" s="2" t="s">
        <v>47</v>
      </c>
      <c r="D237" s="2" t="s">
        <v>48</v>
      </c>
      <c r="E237" s="2" t="s">
        <v>68</v>
      </c>
      <c r="F237" s="4" t="str">
        <f aca="false">INDEX(Products!$B$2:$B$9,MATCH(E237,Products!$A$2:$A$9,0))</f>
        <v>Premium Support</v>
      </c>
      <c r="G237" s="4" t="str">
        <f aca="false">INDEX(Products!$C$2:$C$9,MATCH(E237,Products!$A$2:$A$9,0))</f>
        <v>Services</v>
      </c>
      <c r="H237" s="5" t="n">
        <v>1</v>
      </c>
      <c r="I237" s="6" t="n">
        <f aca="false">INDEX(Products!$D$2:$D$9,MATCH(E237,Products!$A$2:$A$9,0))</f>
        <v>600</v>
      </c>
      <c r="J237" s="7" t="n">
        <v>0.1</v>
      </c>
      <c r="K237" s="8" t="n">
        <f aca="false">H237*I237*(1-J237)</f>
        <v>540</v>
      </c>
      <c r="L237" s="6" t="n">
        <f aca="false">H237*INDEX(Products!$E$2:$E$9,MATCH(E237,Products!$A$2:$A$9,0))</f>
        <v>395</v>
      </c>
      <c r="M237" s="8" t="n">
        <f aca="false">K237-L237</f>
        <v>145</v>
      </c>
      <c r="N237" s="2" t="s">
        <v>19</v>
      </c>
      <c r="O237" s="2" t="s">
        <v>72</v>
      </c>
    </row>
    <row r="238" customFormat="false" ht="15" hidden="false" customHeight="false" outlineLevel="0" collapsed="false">
      <c r="A238" s="2" t="s">
        <v>292</v>
      </c>
      <c r="B238" s="3" t="n">
        <v>45754</v>
      </c>
      <c r="C238" s="2" t="s">
        <v>16</v>
      </c>
      <c r="D238" s="2" t="s">
        <v>35</v>
      </c>
      <c r="E238" s="2" t="s">
        <v>32</v>
      </c>
      <c r="F238" s="4" t="str">
        <f aca="false">INDEX(Products!$B$2:$B$9,MATCH(E238,Products!$A$2:$A$9,0))</f>
        <v>Analytics Plus</v>
      </c>
      <c r="G238" s="4" t="str">
        <f aca="false">INDEX(Products!$C$2:$C$9,MATCH(E238,Products!$A$2:$A$9,0))</f>
        <v>Software</v>
      </c>
      <c r="H238" s="5" t="n">
        <v>3</v>
      </c>
      <c r="I238" s="6" t="n">
        <f aca="false">INDEX(Products!$D$2:$D$9,MATCH(E238,Products!$A$2:$A$9,0))</f>
        <v>290</v>
      </c>
      <c r="J238" s="7" t="n">
        <v>0.1</v>
      </c>
      <c r="K238" s="8" t="n">
        <f aca="false">H238*I238*(1-J238)</f>
        <v>783</v>
      </c>
      <c r="L238" s="6" t="n">
        <f aca="false">H238*INDEX(Products!$E$2:$E$9,MATCH(E238,Products!$A$2:$A$9,0))</f>
        <v>123</v>
      </c>
      <c r="M238" s="8" t="n">
        <f aca="false">K238-L238</f>
        <v>660</v>
      </c>
      <c r="N238" s="2" t="s">
        <v>28</v>
      </c>
      <c r="O238" s="2" t="s">
        <v>36</v>
      </c>
    </row>
    <row r="239" customFormat="false" ht="15" hidden="false" customHeight="false" outlineLevel="0" collapsed="false">
      <c r="A239" s="2" t="s">
        <v>293</v>
      </c>
      <c r="B239" s="3" t="n">
        <v>45754</v>
      </c>
      <c r="C239" s="2" t="s">
        <v>47</v>
      </c>
      <c r="D239" s="2" t="s">
        <v>157</v>
      </c>
      <c r="E239" s="2" t="s">
        <v>23</v>
      </c>
      <c r="F239" s="4" t="str">
        <f aca="false">INDEX(Products!$B$2:$B$9,MATCH(E239,Products!$A$2:$A$9,0))</f>
        <v>Sensor Hub S</v>
      </c>
      <c r="G239" s="4" t="str">
        <f aca="false">INDEX(Products!$C$2:$C$9,MATCH(E239,Products!$A$2:$A$9,0))</f>
        <v>Hardware</v>
      </c>
      <c r="H239" s="5" t="n">
        <v>12</v>
      </c>
      <c r="I239" s="6" t="n">
        <f aca="false">INDEX(Products!$D$2:$D$9,MATCH(E239,Products!$A$2:$A$9,0))</f>
        <v>189</v>
      </c>
      <c r="J239" s="7" t="n">
        <v>0.1</v>
      </c>
      <c r="K239" s="8" t="n">
        <f aca="false">H239*I239*(1-J239)</f>
        <v>2041.2</v>
      </c>
      <c r="L239" s="6" t="n">
        <f aca="false">H239*INDEX(Products!$E$2:$E$9,MATCH(E239,Products!$A$2:$A$9,0))</f>
        <v>1176</v>
      </c>
      <c r="M239" s="8" t="n">
        <f aca="false">K239-L239</f>
        <v>865.2</v>
      </c>
      <c r="N239" s="2" t="s">
        <v>28</v>
      </c>
      <c r="O239" s="2" t="s">
        <v>72</v>
      </c>
    </row>
    <row r="240" customFormat="false" ht="15" hidden="false" customHeight="false" outlineLevel="0" collapsed="false">
      <c r="A240" s="2" t="s">
        <v>294</v>
      </c>
      <c r="B240" s="3" t="n">
        <v>45754</v>
      </c>
      <c r="C240" s="2" t="s">
        <v>30</v>
      </c>
      <c r="D240" s="2" t="s">
        <v>128</v>
      </c>
      <c r="E240" s="2" t="s">
        <v>23</v>
      </c>
      <c r="F240" s="4" t="str">
        <f aca="false">INDEX(Products!$B$2:$B$9,MATCH(E240,Products!$A$2:$A$9,0))</f>
        <v>Sensor Hub S</v>
      </c>
      <c r="G240" s="4" t="str">
        <f aca="false">INDEX(Products!$C$2:$C$9,MATCH(E240,Products!$A$2:$A$9,0))</f>
        <v>Hardware</v>
      </c>
      <c r="H240" s="5" t="n">
        <v>1</v>
      </c>
      <c r="I240" s="6" t="n">
        <f aca="false">INDEX(Products!$D$2:$D$9,MATCH(E240,Products!$A$2:$A$9,0))</f>
        <v>189</v>
      </c>
      <c r="J240" s="7" t="n">
        <v>0.15</v>
      </c>
      <c r="K240" s="8" t="n">
        <f aca="false">H240*I240*(1-J240)</f>
        <v>160.65</v>
      </c>
      <c r="L240" s="6" t="n">
        <f aca="false">H240*INDEX(Products!$E$2:$E$9,MATCH(E240,Products!$A$2:$A$9,0))</f>
        <v>98</v>
      </c>
      <c r="M240" s="8" t="n">
        <f aca="false">K240-L240</f>
        <v>62.65</v>
      </c>
      <c r="N240" s="2" t="s">
        <v>38</v>
      </c>
      <c r="O240" s="2" t="s">
        <v>33</v>
      </c>
    </row>
    <row r="241" customFormat="false" ht="15" hidden="false" customHeight="false" outlineLevel="0" collapsed="false">
      <c r="A241" s="2" t="s">
        <v>295</v>
      </c>
      <c r="B241" s="3" t="n">
        <v>45754</v>
      </c>
      <c r="C241" s="2" t="s">
        <v>41</v>
      </c>
      <c r="D241" s="2" t="s">
        <v>66</v>
      </c>
      <c r="E241" s="2" t="s">
        <v>61</v>
      </c>
      <c r="F241" s="4" t="str">
        <f aca="false">INDEX(Products!$B$2:$B$9,MATCH(E241,Products!$A$2:$A$9,0))</f>
        <v>Install Service</v>
      </c>
      <c r="G241" s="4" t="str">
        <f aca="false">INDEX(Products!$C$2:$C$9,MATCH(E241,Products!$A$2:$A$9,0))</f>
        <v>Services</v>
      </c>
      <c r="H241" s="5" t="n">
        <v>2</v>
      </c>
      <c r="I241" s="6" t="n">
        <f aca="false">INDEX(Products!$D$2:$D$9,MATCH(E241,Products!$A$2:$A$9,0))</f>
        <v>450</v>
      </c>
      <c r="J241" s="7" t="n">
        <v>0.1</v>
      </c>
      <c r="K241" s="8" t="n">
        <f aca="false">H241*I241*(1-J241)</f>
        <v>810</v>
      </c>
      <c r="L241" s="6" t="n">
        <f aca="false">H241*INDEX(Products!$E$2:$E$9,MATCH(E241,Products!$A$2:$A$9,0))</f>
        <v>620</v>
      </c>
      <c r="M241" s="8" t="n">
        <f aca="false">K241-L241</f>
        <v>190</v>
      </c>
      <c r="N241" s="2" t="s">
        <v>19</v>
      </c>
      <c r="O241" s="2" t="s">
        <v>52</v>
      </c>
    </row>
    <row r="242" customFormat="false" ht="15" hidden="false" customHeight="false" outlineLevel="0" collapsed="false">
      <c r="A242" s="2" t="s">
        <v>296</v>
      </c>
      <c r="B242" s="3" t="n">
        <v>45754</v>
      </c>
      <c r="C242" s="2" t="s">
        <v>41</v>
      </c>
      <c r="D242" s="2" t="s">
        <v>66</v>
      </c>
      <c r="E242" s="2" t="s">
        <v>18</v>
      </c>
      <c r="F242" s="4" t="str">
        <f aca="false">INDEX(Products!$B$2:$B$9,MATCH(E242,Products!$A$2:$A$9,0))</f>
        <v>Sensor Hub Pro</v>
      </c>
      <c r="G242" s="4" t="str">
        <f aca="false">INDEX(Products!$C$2:$C$9,MATCH(E242,Products!$A$2:$A$9,0))</f>
        <v>Hardware</v>
      </c>
      <c r="H242" s="5" t="n">
        <v>2</v>
      </c>
      <c r="I242" s="6" t="n">
        <f aca="false">INDEX(Products!$D$2:$D$9,MATCH(E242,Products!$A$2:$A$9,0))</f>
        <v>349</v>
      </c>
      <c r="J242" s="7" t="n">
        <v>0.2</v>
      </c>
      <c r="K242" s="8" t="n">
        <f aca="false">H242*I242*(1-J242)</f>
        <v>558.4</v>
      </c>
      <c r="L242" s="6" t="n">
        <f aca="false">H242*INDEX(Products!$E$2:$E$9,MATCH(E242,Products!$A$2:$A$9,0))</f>
        <v>402</v>
      </c>
      <c r="M242" s="8" t="n">
        <f aca="false">K242-L242</f>
        <v>156.4</v>
      </c>
      <c r="N242" s="2" t="s">
        <v>19</v>
      </c>
      <c r="O242" s="2" t="s">
        <v>52</v>
      </c>
    </row>
    <row r="243" customFormat="false" ht="15" hidden="false" customHeight="false" outlineLevel="0" collapsed="false">
      <c r="A243" s="2" t="s">
        <v>297</v>
      </c>
      <c r="B243" s="3" t="n">
        <v>45755</v>
      </c>
      <c r="C243" s="2" t="s">
        <v>47</v>
      </c>
      <c r="D243" s="2" t="s">
        <v>71</v>
      </c>
      <c r="E243" s="2" t="s">
        <v>32</v>
      </c>
      <c r="F243" s="4" t="str">
        <f aca="false">INDEX(Products!$B$2:$B$9,MATCH(E243,Products!$A$2:$A$9,0))</f>
        <v>Analytics Plus</v>
      </c>
      <c r="G243" s="4" t="str">
        <f aca="false">INDEX(Products!$C$2:$C$9,MATCH(E243,Products!$A$2:$A$9,0))</f>
        <v>Software</v>
      </c>
      <c r="H243" s="5" t="n">
        <v>1</v>
      </c>
      <c r="I243" s="6" t="n">
        <f aca="false">INDEX(Products!$D$2:$D$9,MATCH(E243,Products!$A$2:$A$9,0))</f>
        <v>290</v>
      </c>
      <c r="J243" s="7" t="n">
        <v>0.05</v>
      </c>
      <c r="K243" s="8" t="n">
        <f aca="false">H243*I243*(1-J243)</f>
        <v>275.5</v>
      </c>
      <c r="L243" s="6" t="n">
        <f aca="false">H243*INDEX(Products!$E$2:$E$9,MATCH(E243,Products!$A$2:$A$9,0))</f>
        <v>41</v>
      </c>
      <c r="M243" s="8" t="n">
        <f aca="false">K243-L243</f>
        <v>234.5</v>
      </c>
      <c r="N243" s="2" t="s">
        <v>28</v>
      </c>
      <c r="O243" s="2" t="s">
        <v>72</v>
      </c>
    </row>
    <row r="244" customFormat="false" ht="15" hidden="false" customHeight="false" outlineLevel="0" collapsed="false">
      <c r="A244" s="2" t="s">
        <v>298</v>
      </c>
      <c r="B244" s="3" t="n">
        <v>45755</v>
      </c>
      <c r="C244" s="2" t="s">
        <v>47</v>
      </c>
      <c r="D244" s="2" t="s">
        <v>157</v>
      </c>
      <c r="E244" s="2" t="s">
        <v>23</v>
      </c>
      <c r="F244" s="4" t="str">
        <f aca="false">INDEX(Products!$B$2:$B$9,MATCH(E244,Products!$A$2:$A$9,0))</f>
        <v>Sensor Hub S</v>
      </c>
      <c r="G244" s="4" t="str">
        <f aca="false">INDEX(Products!$C$2:$C$9,MATCH(E244,Products!$A$2:$A$9,0))</f>
        <v>Hardware</v>
      </c>
      <c r="H244" s="5" t="n">
        <v>4</v>
      </c>
      <c r="I244" s="6" t="n">
        <f aca="false">INDEX(Products!$D$2:$D$9,MATCH(E244,Products!$A$2:$A$9,0))</f>
        <v>189</v>
      </c>
      <c r="J244" s="7" t="n">
        <v>0.25</v>
      </c>
      <c r="K244" s="8" t="n">
        <f aca="false">H244*I244*(1-J244)</f>
        <v>567</v>
      </c>
      <c r="L244" s="6" t="n">
        <f aca="false">H244*INDEX(Products!$E$2:$E$9,MATCH(E244,Products!$A$2:$A$9,0))</f>
        <v>392</v>
      </c>
      <c r="M244" s="8" t="n">
        <f aca="false">K244-L244</f>
        <v>175</v>
      </c>
      <c r="N244" s="2" t="s">
        <v>19</v>
      </c>
      <c r="O244" s="2" t="s">
        <v>50</v>
      </c>
    </row>
    <row r="245" customFormat="false" ht="15" hidden="false" customHeight="false" outlineLevel="0" collapsed="false">
      <c r="A245" s="2" t="s">
        <v>299</v>
      </c>
      <c r="B245" s="3" t="n">
        <v>45756</v>
      </c>
      <c r="C245" s="2" t="s">
        <v>41</v>
      </c>
      <c r="D245" s="2" t="s">
        <v>42</v>
      </c>
      <c r="E245" s="2" t="s">
        <v>18</v>
      </c>
      <c r="F245" s="4" t="str">
        <f aca="false">INDEX(Products!$B$2:$B$9,MATCH(E245,Products!$A$2:$A$9,0))</f>
        <v>Sensor Hub Pro</v>
      </c>
      <c r="G245" s="4" t="str">
        <f aca="false">INDEX(Products!$C$2:$C$9,MATCH(E245,Products!$A$2:$A$9,0))</f>
        <v>Hardware</v>
      </c>
      <c r="H245" s="5" t="n">
        <v>8</v>
      </c>
      <c r="I245" s="6" t="n">
        <f aca="false">INDEX(Products!$D$2:$D$9,MATCH(E245,Products!$A$2:$A$9,0))</f>
        <v>349</v>
      </c>
      <c r="J245" s="7" t="n">
        <v>0.05</v>
      </c>
      <c r="K245" s="8" t="n">
        <f aca="false">H245*I245*(1-J245)</f>
        <v>2652.4</v>
      </c>
      <c r="L245" s="6" t="n">
        <f aca="false">H245*INDEX(Products!$E$2:$E$9,MATCH(E245,Products!$A$2:$A$9,0))</f>
        <v>1608</v>
      </c>
      <c r="M245" s="8" t="n">
        <f aca="false">K245-L245</f>
        <v>1044.4</v>
      </c>
      <c r="N245" s="2" t="s">
        <v>28</v>
      </c>
      <c r="O245" s="2" t="s">
        <v>43</v>
      </c>
    </row>
    <row r="246" customFormat="false" ht="15" hidden="false" customHeight="false" outlineLevel="0" collapsed="false">
      <c r="A246" s="2" t="s">
        <v>300</v>
      </c>
      <c r="B246" s="3" t="n">
        <v>45756</v>
      </c>
      <c r="C246" s="2" t="s">
        <v>16</v>
      </c>
      <c r="D246" s="2" t="s">
        <v>22</v>
      </c>
      <c r="E246" s="2" t="s">
        <v>18</v>
      </c>
      <c r="F246" s="4" t="str">
        <f aca="false">INDEX(Products!$B$2:$B$9,MATCH(E246,Products!$A$2:$A$9,0))</f>
        <v>Sensor Hub Pro</v>
      </c>
      <c r="G246" s="4" t="str">
        <f aca="false">INDEX(Products!$C$2:$C$9,MATCH(E246,Products!$A$2:$A$9,0))</f>
        <v>Hardware</v>
      </c>
      <c r="H246" s="5" t="n">
        <v>5</v>
      </c>
      <c r="I246" s="6" t="n">
        <f aca="false">INDEX(Products!$D$2:$D$9,MATCH(E246,Products!$A$2:$A$9,0))</f>
        <v>349</v>
      </c>
      <c r="J246" s="7" t="n">
        <v>0.05</v>
      </c>
      <c r="K246" s="8" t="n">
        <f aca="false">H246*I246*(1-J246)</f>
        <v>1657.75</v>
      </c>
      <c r="L246" s="6" t="n">
        <f aca="false">H246*INDEX(Products!$E$2:$E$9,MATCH(E246,Products!$A$2:$A$9,0))</f>
        <v>1005</v>
      </c>
      <c r="M246" s="8" t="n">
        <f aca="false">K246-L246</f>
        <v>652.75</v>
      </c>
      <c r="N246" s="2" t="s">
        <v>38</v>
      </c>
      <c r="O246" s="2" t="s">
        <v>36</v>
      </c>
    </row>
    <row r="247" customFormat="false" ht="15" hidden="false" customHeight="false" outlineLevel="0" collapsed="false">
      <c r="A247" s="2" t="s">
        <v>301</v>
      </c>
      <c r="B247" s="3" t="n">
        <v>45756</v>
      </c>
      <c r="C247" s="2" t="s">
        <v>30</v>
      </c>
      <c r="D247" s="2" t="s">
        <v>77</v>
      </c>
      <c r="E247" s="2" t="s">
        <v>49</v>
      </c>
      <c r="F247" s="4" t="str">
        <f aca="false">INDEX(Products!$B$2:$B$9,MATCH(E247,Products!$A$2:$A$9,0))</f>
        <v>Mounting Kit</v>
      </c>
      <c r="G247" s="4" t="str">
        <f aca="false">INDEX(Products!$C$2:$C$9,MATCH(E247,Products!$A$2:$A$9,0))</f>
        <v>Accessories</v>
      </c>
      <c r="H247" s="5" t="n">
        <v>4</v>
      </c>
      <c r="I247" s="6" t="n">
        <f aca="false">INDEX(Products!$D$2:$D$9,MATCH(E247,Products!$A$2:$A$9,0))</f>
        <v>39</v>
      </c>
      <c r="J247" s="7" t="n">
        <v>0</v>
      </c>
      <c r="K247" s="8" t="n">
        <f aca="false">H247*I247*(1-J247)</f>
        <v>156</v>
      </c>
      <c r="L247" s="6" t="n">
        <f aca="false">H247*INDEX(Products!$E$2:$E$9,MATCH(E247,Products!$A$2:$A$9,0))</f>
        <v>126</v>
      </c>
      <c r="M247" s="8" t="n">
        <f aca="false">K247-L247</f>
        <v>30</v>
      </c>
      <c r="N247" s="2" t="s">
        <v>28</v>
      </c>
      <c r="O247" s="2" t="s">
        <v>33</v>
      </c>
    </row>
    <row r="248" customFormat="false" ht="15" hidden="false" customHeight="false" outlineLevel="0" collapsed="false">
      <c r="A248" s="2" t="s">
        <v>302</v>
      </c>
      <c r="B248" s="3" t="n">
        <v>45756</v>
      </c>
      <c r="C248" s="2" t="s">
        <v>47</v>
      </c>
      <c r="D248" s="2" t="s">
        <v>71</v>
      </c>
      <c r="E248" s="2" t="s">
        <v>18</v>
      </c>
      <c r="F248" s="4" t="str">
        <f aca="false">INDEX(Products!$B$2:$B$9,MATCH(E248,Products!$A$2:$A$9,0))</f>
        <v>Sensor Hub Pro</v>
      </c>
      <c r="G248" s="4" t="str">
        <f aca="false">INDEX(Products!$C$2:$C$9,MATCH(E248,Products!$A$2:$A$9,0))</f>
        <v>Hardware</v>
      </c>
      <c r="H248" s="5" t="n">
        <v>1</v>
      </c>
      <c r="I248" s="6" t="n">
        <f aca="false">INDEX(Products!$D$2:$D$9,MATCH(E248,Products!$A$2:$A$9,0))</f>
        <v>349</v>
      </c>
      <c r="J248" s="7" t="n">
        <v>0.05</v>
      </c>
      <c r="K248" s="8" t="n">
        <f aca="false">H248*I248*(1-J248)</f>
        <v>331.55</v>
      </c>
      <c r="L248" s="6" t="n">
        <f aca="false">H248*INDEX(Products!$E$2:$E$9,MATCH(E248,Products!$A$2:$A$9,0))</f>
        <v>201</v>
      </c>
      <c r="M248" s="8" t="n">
        <f aca="false">K248-L248</f>
        <v>130.55</v>
      </c>
      <c r="N248" s="2" t="s">
        <v>28</v>
      </c>
      <c r="O248" s="2" t="s">
        <v>72</v>
      </c>
    </row>
    <row r="249" customFormat="false" ht="15" hidden="false" customHeight="false" outlineLevel="0" collapsed="false">
      <c r="A249" s="2" t="s">
        <v>303</v>
      </c>
      <c r="B249" s="3" t="n">
        <v>45757</v>
      </c>
      <c r="C249" s="2" t="s">
        <v>16</v>
      </c>
      <c r="D249" s="2" t="s">
        <v>25</v>
      </c>
      <c r="E249" s="2" t="s">
        <v>57</v>
      </c>
      <c r="F249" s="4" t="str">
        <f aca="false">INDEX(Products!$B$2:$B$9,MATCH(E249,Products!$A$2:$A$9,0))</f>
        <v>Edge Gateway</v>
      </c>
      <c r="G249" s="4" t="str">
        <f aca="false">INDEX(Products!$C$2:$C$9,MATCH(E249,Products!$A$2:$A$9,0))</f>
        <v>Hardware</v>
      </c>
      <c r="H249" s="5" t="n">
        <v>1</v>
      </c>
      <c r="I249" s="6" t="n">
        <f aca="false">INDEX(Products!$D$2:$D$9,MATCH(E249,Products!$A$2:$A$9,0))</f>
        <v>899</v>
      </c>
      <c r="J249" s="7" t="n">
        <v>0.05</v>
      </c>
      <c r="K249" s="8" t="n">
        <f aca="false">H249*I249*(1-J249)</f>
        <v>854.05</v>
      </c>
      <c r="L249" s="6" t="n">
        <f aca="false">H249*INDEX(Products!$E$2:$E$9,MATCH(E249,Products!$A$2:$A$9,0))</f>
        <v>612</v>
      </c>
      <c r="M249" s="8" t="n">
        <f aca="false">K249-L249</f>
        <v>242.05</v>
      </c>
      <c r="N249" s="2" t="s">
        <v>28</v>
      </c>
      <c r="O249" s="2" t="s">
        <v>20</v>
      </c>
    </row>
    <row r="250" customFormat="false" ht="15" hidden="false" customHeight="false" outlineLevel="0" collapsed="false">
      <c r="A250" s="2" t="s">
        <v>304</v>
      </c>
      <c r="B250" s="3" t="n">
        <v>45757</v>
      </c>
      <c r="C250" s="2" t="s">
        <v>47</v>
      </c>
      <c r="D250" s="2" t="s">
        <v>157</v>
      </c>
      <c r="E250" s="2" t="s">
        <v>68</v>
      </c>
      <c r="F250" s="4" t="str">
        <f aca="false">INDEX(Products!$B$2:$B$9,MATCH(E250,Products!$A$2:$A$9,0))</f>
        <v>Premium Support</v>
      </c>
      <c r="G250" s="4" t="str">
        <f aca="false">INDEX(Products!$C$2:$C$9,MATCH(E250,Products!$A$2:$A$9,0))</f>
        <v>Services</v>
      </c>
      <c r="H250" s="5" t="n">
        <v>2</v>
      </c>
      <c r="I250" s="6" t="n">
        <f aca="false">INDEX(Products!$D$2:$D$9,MATCH(E250,Products!$A$2:$A$9,0))</f>
        <v>600</v>
      </c>
      <c r="J250" s="7" t="n">
        <v>0</v>
      </c>
      <c r="K250" s="8" t="n">
        <f aca="false">H250*I250*(1-J250)</f>
        <v>1200</v>
      </c>
      <c r="L250" s="6" t="n">
        <f aca="false">H250*INDEX(Products!$E$2:$E$9,MATCH(E250,Products!$A$2:$A$9,0))</f>
        <v>790</v>
      </c>
      <c r="M250" s="8" t="n">
        <f aca="false">K250-L250</f>
        <v>410</v>
      </c>
      <c r="N250" s="2" t="s">
        <v>28</v>
      </c>
      <c r="O250" s="2" t="s">
        <v>50</v>
      </c>
    </row>
    <row r="251" customFormat="false" ht="15" hidden="false" customHeight="false" outlineLevel="0" collapsed="false">
      <c r="A251" s="2" t="s">
        <v>305</v>
      </c>
      <c r="B251" s="3" t="n">
        <v>45757</v>
      </c>
      <c r="C251" s="2" t="s">
        <v>47</v>
      </c>
      <c r="D251" s="2" t="s">
        <v>157</v>
      </c>
      <c r="E251" s="2" t="s">
        <v>57</v>
      </c>
      <c r="F251" s="4" t="str">
        <f aca="false">INDEX(Products!$B$2:$B$9,MATCH(E251,Products!$A$2:$A$9,0))</f>
        <v>Edge Gateway</v>
      </c>
      <c r="G251" s="4" t="str">
        <f aca="false">INDEX(Products!$C$2:$C$9,MATCH(E251,Products!$A$2:$A$9,0))</f>
        <v>Hardware</v>
      </c>
      <c r="H251" s="5" t="n">
        <v>12</v>
      </c>
      <c r="I251" s="6" t="n">
        <f aca="false">INDEX(Products!$D$2:$D$9,MATCH(E251,Products!$A$2:$A$9,0))</f>
        <v>899</v>
      </c>
      <c r="J251" s="7" t="n">
        <v>0.1</v>
      </c>
      <c r="K251" s="8" t="n">
        <f aca="false">H251*I251*(1-J251)</f>
        <v>9709.2</v>
      </c>
      <c r="L251" s="6" t="n">
        <f aca="false">H251*INDEX(Products!$E$2:$E$9,MATCH(E251,Products!$A$2:$A$9,0))</f>
        <v>7344</v>
      </c>
      <c r="M251" s="8" t="n">
        <f aca="false">K251-L251</f>
        <v>2365.2</v>
      </c>
      <c r="N251" s="2" t="s">
        <v>19</v>
      </c>
      <c r="O251" s="2" t="s">
        <v>72</v>
      </c>
    </row>
    <row r="252" customFormat="false" ht="15" hidden="false" customHeight="false" outlineLevel="0" collapsed="false">
      <c r="A252" s="2" t="s">
        <v>306</v>
      </c>
      <c r="B252" s="3" t="n">
        <v>45757</v>
      </c>
      <c r="C252" s="2" t="s">
        <v>47</v>
      </c>
      <c r="D252" s="2" t="s">
        <v>55</v>
      </c>
      <c r="E252" s="2" t="s">
        <v>26</v>
      </c>
      <c r="F252" s="4" t="str">
        <f aca="false">INDEX(Products!$B$2:$B$9,MATCH(E252,Products!$A$2:$A$9,0))</f>
        <v>Analytics Basic</v>
      </c>
      <c r="G252" s="4" t="str">
        <f aca="false">INDEX(Products!$C$2:$C$9,MATCH(E252,Products!$A$2:$A$9,0))</f>
        <v>Software</v>
      </c>
      <c r="H252" s="5" t="n">
        <v>3</v>
      </c>
      <c r="I252" s="6" t="n">
        <f aca="false">INDEX(Products!$D$2:$D$9,MATCH(E252,Products!$A$2:$A$9,0))</f>
        <v>120</v>
      </c>
      <c r="J252" s="7" t="n">
        <v>0.05</v>
      </c>
      <c r="K252" s="8" t="n">
        <f aca="false">H252*I252*(1-J252)</f>
        <v>342</v>
      </c>
      <c r="L252" s="6" t="n">
        <f aca="false">H252*INDEX(Products!$E$2:$E$9,MATCH(E252,Products!$A$2:$A$9,0))</f>
        <v>54</v>
      </c>
      <c r="M252" s="8" t="n">
        <f aca="false">K252-L252</f>
        <v>288</v>
      </c>
      <c r="N252" s="2" t="s">
        <v>28</v>
      </c>
      <c r="O252" s="2" t="s">
        <v>72</v>
      </c>
    </row>
    <row r="253" customFormat="false" ht="15" hidden="false" customHeight="false" outlineLevel="0" collapsed="false">
      <c r="A253" s="2" t="s">
        <v>307</v>
      </c>
      <c r="B253" s="3" t="n">
        <v>45758</v>
      </c>
      <c r="C253" s="2" t="s">
        <v>30</v>
      </c>
      <c r="D253" s="2" t="s">
        <v>128</v>
      </c>
      <c r="E253" s="2" t="s">
        <v>18</v>
      </c>
      <c r="F253" s="4" t="str">
        <f aca="false">INDEX(Products!$B$2:$B$9,MATCH(E253,Products!$A$2:$A$9,0))</f>
        <v>Sensor Hub Pro</v>
      </c>
      <c r="G253" s="4" t="str">
        <f aca="false">INDEX(Products!$C$2:$C$9,MATCH(E253,Products!$A$2:$A$9,0))</f>
        <v>Hardware</v>
      </c>
      <c r="H253" s="5" t="n">
        <v>4</v>
      </c>
      <c r="I253" s="6" t="n">
        <f aca="false">INDEX(Products!$D$2:$D$9,MATCH(E253,Products!$A$2:$A$9,0))</f>
        <v>349</v>
      </c>
      <c r="J253" s="7" t="n">
        <v>0.1</v>
      </c>
      <c r="K253" s="8" t="n">
        <f aca="false">H253*I253*(1-J253)</f>
        <v>1256.4</v>
      </c>
      <c r="L253" s="6" t="n">
        <f aca="false">H253*INDEX(Products!$E$2:$E$9,MATCH(E253,Products!$A$2:$A$9,0))</f>
        <v>804</v>
      </c>
      <c r="M253" s="8" t="n">
        <f aca="false">K253-L253</f>
        <v>452.4</v>
      </c>
      <c r="N253" s="2" t="s">
        <v>19</v>
      </c>
      <c r="O253" s="2" t="s">
        <v>33</v>
      </c>
    </row>
    <row r="254" customFormat="false" ht="15" hidden="false" customHeight="false" outlineLevel="0" collapsed="false">
      <c r="A254" s="2" t="s">
        <v>308</v>
      </c>
      <c r="B254" s="3" t="n">
        <v>45758</v>
      </c>
      <c r="C254" s="2" t="s">
        <v>47</v>
      </c>
      <c r="D254" s="2" t="s">
        <v>71</v>
      </c>
      <c r="E254" s="2" t="s">
        <v>23</v>
      </c>
      <c r="F254" s="4" t="str">
        <f aca="false">INDEX(Products!$B$2:$B$9,MATCH(E254,Products!$A$2:$A$9,0))</f>
        <v>Sensor Hub S</v>
      </c>
      <c r="G254" s="4" t="str">
        <f aca="false">INDEX(Products!$C$2:$C$9,MATCH(E254,Products!$A$2:$A$9,0))</f>
        <v>Hardware</v>
      </c>
      <c r="H254" s="5" t="n">
        <v>2</v>
      </c>
      <c r="I254" s="6" t="n">
        <f aca="false">INDEX(Products!$D$2:$D$9,MATCH(E254,Products!$A$2:$A$9,0))</f>
        <v>189</v>
      </c>
      <c r="J254" s="7" t="n">
        <v>0.25</v>
      </c>
      <c r="K254" s="8" t="n">
        <f aca="false">H254*I254*(1-J254)</f>
        <v>283.5</v>
      </c>
      <c r="L254" s="6" t="n">
        <f aca="false">H254*INDEX(Products!$E$2:$E$9,MATCH(E254,Products!$A$2:$A$9,0))</f>
        <v>196</v>
      </c>
      <c r="M254" s="8" t="n">
        <f aca="false">K254-L254</f>
        <v>87.5</v>
      </c>
      <c r="N254" s="2" t="s">
        <v>19</v>
      </c>
      <c r="O254" s="2" t="s">
        <v>50</v>
      </c>
    </row>
    <row r="255" customFormat="false" ht="15" hidden="false" customHeight="false" outlineLevel="0" collapsed="false">
      <c r="A255" s="2" t="s">
        <v>309</v>
      </c>
      <c r="B255" s="3" t="n">
        <v>45758</v>
      </c>
      <c r="C255" s="2" t="s">
        <v>16</v>
      </c>
      <c r="D255" s="2" t="s">
        <v>35</v>
      </c>
      <c r="E255" s="2" t="s">
        <v>49</v>
      </c>
      <c r="F255" s="4" t="str">
        <f aca="false">INDEX(Products!$B$2:$B$9,MATCH(E255,Products!$A$2:$A$9,0))</f>
        <v>Mounting Kit</v>
      </c>
      <c r="G255" s="4" t="str">
        <f aca="false">INDEX(Products!$C$2:$C$9,MATCH(E255,Products!$A$2:$A$9,0))</f>
        <v>Accessories</v>
      </c>
      <c r="H255" s="5" t="n">
        <v>2</v>
      </c>
      <c r="I255" s="6" t="n">
        <f aca="false">INDEX(Products!$D$2:$D$9,MATCH(E255,Products!$A$2:$A$9,0))</f>
        <v>39</v>
      </c>
      <c r="J255" s="7" t="n">
        <v>0.05</v>
      </c>
      <c r="K255" s="8" t="n">
        <f aca="false">H255*I255*(1-J255)</f>
        <v>74.1</v>
      </c>
      <c r="L255" s="6" t="n">
        <f aca="false">H255*INDEX(Products!$E$2:$E$9,MATCH(E255,Products!$A$2:$A$9,0))</f>
        <v>63</v>
      </c>
      <c r="M255" s="8" t="n">
        <f aca="false">K255-L255</f>
        <v>11.1</v>
      </c>
      <c r="N255" s="2" t="s">
        <v>28</v>
      </c>
      <c r="O255" s="2" t="s">
        <v>36</v>
      </c>
    </row>
    <row r="256" customFormat="false" ht="15" hidden="false" customHeight="false" outlineLevel="0" collapsed="false">
      <c r="A256" s="2" t="s">
        <v>310</v>
      </c>
      <c r="B256" s="3" t="n">
        <v>45758</v>
      </c>
      <c r="C256" s="2" t="s">
        <v>47</v>
      </c>
      <c r="D256" s="2" t="s">
        <v>71</v>
      </c>
      <c r="E256" s="2" t="s">
        <v>32</v>
      </c>
      <c r="F256" s="4" t="str">
        <f aca="false">INDEX(Products!$B$2:$B$9,MATCH(E256,Products!$A$2:$A$9,0))</f>
        <v>Analytics Plus</v>
      </c>
      <c r="G256" s="4" t="str">
        <f aca="false">INDEX(Products!$C$2:$C$9,MATCH(E256,Products!$A$2:$A$9,0))</f>
        <v>Software</v>
      </c>
      <c r="H256" s="5" t="n">
        <v>1</v>
      </c>
      <c r="I256" s="6" t="n">
        <f aca="false">INDEX(Products!$D$2:$D$9,MATCH(E256,Products!$A$2:$A$9,0))</f>
        <v>290</v>
      </c>
      <c r="J256" s="7" t="n">
        <v>0.15</v>
      </c>
      <c r="K256" s="8" t="n">
        <f aca="false">H256*I256*(1-J256)</f>
        <v>246.5</v>
      </c>
      <c r="L256" s="6" t="n">
        <f aca="false">H256*INDEX(Products!$E$2:$E$9,MATCH(E256,Products!$A$2:$A$9,0))</f>
        <v>41</v>
      </c>
      <c r="M256" s="8" t="n">
        <f aca="false">K256-L256</f>
        <v>205.5</v>
      </c>
      <c r="N256" s="2" t="s">
        <v>19</v>
      </c>
      <c r="O256" s="2" t="s">
        <v>50</v>
      </c>
    </row>
    <row r="257" customFormat="false" ht="15" hidden="false" customHeight="false" outlineLevel="0" collapsed="false">
      <c r="A257" s="2" t="s">
        <v>311</v>
      </c>
      <c r="B257" s="3" t="n">
        <v>45760</v>
      </c>
      <c r="C257" s="2" t="s">
        <v>47</v>
      </c>
      <c r="D257" s="2" t="s">
        <v>157</v>
      </c>
      <c r="E257" s="2" t="s">
        <v>18</v>
      </c>
      <c r="F257" s="4" t="str">
        <f aca="false">INDEX(Products!$B$2:$B$9,MATCH(E257,Products!$A$2:$A$9,0))</f>
        <v>Sensor Hub Pro</v>
      </c>
      <c r="G257" s="4" t="str">
        <f aca="false">INDEX(Products!$C$2:$C$9,MATCH(E257,Products!$A$2:$A$9,0))</f>
        <v>Hardware</v>
      </c>
      <c r="H257" s="5" t="n">
        <v>20</v>
      </c>
      <c r="I257" s="6" t="n">
        <f aca="false">INDEX(Products!$D$2:$D$9,MATCH(E257,Products!$A$2:$A$9,0))</f>
        <v>349</v>
      </c>
      <c r="J257" s="7" t="n">
        <v>0.05</v>
      </c>
      <c r="K257" s="8" t="n">
        <f aca="false">H257*I257*(1-J257)</f>
        <v>6631</v>
      </c>
      <c r="L257" s="6" t="n">
        <f aca="false">H257*INDEX(Products!$E$2:$E$9,MATCH(E257,Products!$A$2:$A$9,0))</f>
        <v>4020</v>
      </c>
      <c r="M257" s="8" t="n">
        <f aca="false">K257-L257</f>
        <v>2611</v>
      </c>
      <c r="N257" s="2" t="s">
        <v>28</v>
      </c>
      <c r="O257" s="2" t="s">
        <v>72</v>
      </c>
    </row>
    <row r="258" customFormat="false" ht="15" hidden="false" customHeight="false" outlineLevel="0" collapsed="false">
      <c r="A258" s="2" t="s">
        <v>312</v>
      </c>
      <c r="B258" s="3" t="n">
        <v>45761</v>
      </c>
      <c r="C258" s="2" t="s">
        <v>41</v>
      </c>
      <c r="D258" s="2" t="s">
        <v>66</v>
      </c>
      <c r="E258" s="2" t="s">
        <v>26</v>
      </c>
      <c r="F258" s="4" t="str">
        <f aca="false">INDEX(Products!$B$2:$B$9,MATCH(E258,Products!$A$2:$A$9,0))</f>
        <v>Analytics Basic</v>
      </c>
      <c r="G258" s="4" t="str">
        <f aca="false">INDEX(Products!$C$2:$C$9,MATCH(E258,Products!$A$2:$A$9,0))</f>
        <v>Software</v>
      </c>
      <c r="H258" s="5" t="n">
        <v>1</v>
      </c>
      <c r="I258" s="6" t="n">
        <f aca="false">INDEX(Products!$D$2:$D$9,MATCH(E258,Products!$A$2:$A$9,0))</f>
        <v>120</v>
      </c>
      <c r="J258" s="7" t="n">
        <v>0.2</v>
      </c>
      <c r="K258" s="8" t="n">
        <f aca="false">H258*I258*(1-J258)</f>
        <v>96</v>
      </c>
      <c r="L258" s="6" t="n">
        <f aca="false">H258*INDEX(Products!$E$2:$E$9,MATCH(E258,Products!$A$2:$A$9,0))</f>
        <v>18</v>
      </c>
      <c r="M258" s="8" t="n">
        <f aca="false">K258-L258</f>
        <v>78</v>
      </c>
      <c r="N258" s="2" t="s">
        <v>19</v>
      </c>
      <c r="O258" s="2" t="s">
        <v>43</v>
      </c>
    </row>
    <row r="259" customFormat="false" ht="15" hidden="false" customHeight="false" outlineLevel="0" collapsed="false">
      <c r="A259" s="2" t="s">
        <v>313</v>
      </c>
      <c r="B259" s="3" t="n">
        <v>45761</v>
      </c>
      <c r="C259" s="2" t="s">
        <v>30</v>
      </c>
      <c r="D259" s="2" t="s">
        <v>31</v>
      </c>
      <c r="E259" s="2" t="s">
        <v>18</v>
      </c>
      <c r="F259" s="4" t="str">
        <f aca="false">INDEX(Products!$B$2:$B$9,MATCH(E259,Products!$A$2:$A$9,0))</f>
        <v>Sensor Hub Pro</v>
      </c>
      <c r="G259" s="4" t="str">
        <f aca="false">INDEX(Products!$C$2:$C$9,MATCH(E259,Products!$A$2:$A$9,0))</f>
        <v>Hardware</v>
      </c>
      <c r="H259" s="5" t="n">
        <v>12</v>
      </c>
      <c r="I259" s="6" t="n">
        <f aca="false">INDEX(Products!$D$2:$D$9,MATCH(E259,Products!$A$2:$A$9,0))</f>
        <v>349</v>
      </c>
      <c r="J259" s="7" t="n">
        <v>0</v>
      </c>
      <c r="K259" s="8" t="n">
        <f aca="false">H259*I259*(1-J259)</f>
        <v>4188</v>
      </c>
      <c r="L259" s="6" t="n">
        <f aca="false">H259*INDEX(Products!$E$2:$E$9,MATCH(E259,Products!$A$2:$A$9,0))</f>
        <v>2412</v>
      </c>
      <c r="M259" s="8" t="n">
        <f aca="false">K259-L259</f>
        <v>1776</v>
      </c>
      <c r="N259" s="2" t="s">
        <v>38</v>
      </c>
      <c r="O259" s="2" t="s">
        <v>64</v>
      </c>
    </row>
    <row r="260" customFormat="false" ht="15" hidden="false" customHeight="false" outlineLevel="0" collapsed="false">
      <c r="A260" s="2" t="s">
        <v>314</v>
      </c>
      <c r="B260" s="3" t="n">
        <v>45761</v>
      </c>
      <c r="C260" s="2" t="s">
        <v>47</v>
      </c>
      <c r="D260" s="2" t="s">
        <v>71</v>
      </c>
      <c r="E260" s="2" t="s">
        <v>26</v>
      </c>
      <c r="F260" s="4" t="str">
        <f aca="false">INDEX(Products!$B$2:$B$9,MATCH(E260,Products!$A$2:$A$9,0))</f>
        <v>Analytics Basic</v>
      </c>
      <c r="G260" s="4" t="str">
        <f aca="false">INDEX(Products!$C$2:$C$9,MATCH(E260,Products!$A$2:$A$9,0))</f>
        <v>Software</v>
      </c>
      <c r="H260" s="5" t="n">
        <v>2</v>
      </c>
      <c r="I260" s="6" t="n">
        <f aca="false">INDEX(Products!$D$2:$D$9,MATCH(E260,Products!$A$2:$A$9,0))</f>
        <v>120</v>
      </c>
      <c r="J260" s="7" t="n">
        <v>0.15</v>
      </c>
      <c r="K260" s="8" t="n">
        <f aca="false">H260*I260*(1-J260)</f>
        <v>204</v>
      </c>
      <c r="L260" s="6" t="n">
        <f aca="false">H260*INDEX(Products!$E$2:$E$9,MATCH(E260,Products!$A$2:$A$9,0))</f>
        <v>36</v>
      </c>
      <c r="M260" s="8" t="n">
        <f aca="false">K260-L260</f>
        <v>168</v>
      </c>
      <c r="N260" s="2" t="s">
        <v>19</v>
      </c>
      <c r="O260" s="2" t="s">
        <v>72</v>
      </c>
    </row>
    <row r="261" customFormat="false" ht="15" hidden="false" customHeight="false" outlineLevel="0" collapsed="false">
      <c r="A261" s="2" t="s">
        <v>315</v>
      </c>
      <c r="B261" s="3" t="n">
        <v>45762</v>
      </c>
      <c r="C261" s="2" t="s">
        <v>41</v>
      </c>
      <c r="D261" s="2" t="s">
        <v>42</v>
      </c>
      <c r="E261" s="2" t="s">
        <v>49</v>
      </c>
      <c r="F261" s="4" t="str">
        <f aca="false">INDEX(Products!$B$2:$B$9,MATCH(E261,Products!$A$2:$A$9,0))</f>
        <v>Mounting Kit</v>
      </c>
      <c r="G261" s="4" t="str">
        <f aca="false">INDEX(Products!$C$2:$C$9,MATCH(E261,Products!$A$2:$A$9,0))</f>
        <v>Accessories</v>
      </c>
      <c r="H261" s="5" t="n">
        <v>8</v>
      </c>
      <c r="I261" s="6" t="n">
        <f aca="false">INDEX(Products!$D$2:$D$9,MATCH(E261,Products!$A$2:$A$9,0))</f>
        <v>39</v>
      </c>
      <c r="J261" s="7" t="n">
        <v>0.1</v>
      </c>
      <c r="K261" s="8" t="n">
        <f aca="false">H261*I261*(1-J261)</f>
        <v>280.8</v>
      </c>
      <c r="L261" s="6" t="n">
        <f aca="false">H261*INDEX(Products!$E$2:$E$9,MATCH(E261,Products!$A$2:$A$9,0))</f>
        <v>252</v>
      </c>
      <c r="M261" s="8" t="n">
        <f aca="false">K261-L261</f>
        <v>28.8</v>
      </c>
      <c r="N261" s="2" t="s">
        <v>19</v>
      </c>
      <c r="O261" s="2" t="s">
        <v>52</v>
      </c>
    </row>
    <row r="262" customFormat="false" ht="15" hidden="false" customHeight="false" outlineLevel="0" collapsed="false">
      <c r="A262" s="2" t="s">
        <v>316</v>
      </c>
      <c r="B262" s="3" t="n">
        <v>45762</v>
      </c>
      <c r="C262" s="2" t="s">
        <v>30</v>
      </c>
      <c r="D262" s="2" t="s">
        <v>128</v>
      </c>
      <c r="E262" s="2" t="s">
        <v>57</v>
      </c>
      <c r="F262" s="4" t="str">
        <f aca="false">INDEX(Products!$B$2:$B$9,MATCH(E262,Products!$A$2:$A$9,0))</f>
        <v>Edge Gateway</v>
      </c>
      <c r="G262" s="4" t="str">
        <f aca="false">INDEX(Products!$C$2:$C$9,MATCH(E262,Products!$A$2:$A$9,0))</f>
        <v>Hardware</v>
      </c>
      <c r="H262" s="5" t="n">
        <v>4</v>
      </c>
      <c r="I262" s="6" t="n">
        <f aca="false">INDEX(Products!$D$2:$D$9,MATCH(E262,Products!$A$2:$A$9,0))</f>
        <v>899</v>
      </c>
      <c r="J262" s="7" t="n">
        <v>0.25</v>
      </c>
      <c r="K262" s="8" t="n">
        <f aca="false">H262*I262*(1-J262)</f>
        <v>2697</v>
      </c>
      <c r="L262" s="6" t="n">
        <f aca="false">H262*INDEX(Products!$E$2:$E$9,MATCH(E262,Products!$A$2:$A$9,0))</f>
        <v>2448</v>
      </c>
      <c r="M262" s="8" t="n">
        <f aca="false">K262-L262</f>
        <v>249</v>
      </c>
      <c r="N262" s="2" t="s">
        <v>19</v>
      </c>
      <c r="O262" s="2" t="s">
        <v>33</v>
      </c>
    </row>
    <row r="263" customFormat="false" ht="15" hidden="false" customHeight="false" outlineLevel="0" collapsed="false">
      <c r="A263" s="2" t="s">
        <v>317</v>
      </c>
      <c r="B263" s="3" t="n">
        <v>45762</v>
      </c>
      <c r="C263" s="2" t="s">
        <v>41</v>
      </c>
      <c r="D263" s="2" t="s">
        <v>42</v>
      </c>
      <c r="E263" s="2" t="s">
        <v>23</v>
      </c>
      <c r="F263" s="4" t="str">
        <f aca="false">INDEX(Products!$B$2:$B$9,MATCH(E263,Products!$A$2:$A$9,0))</f>
        <v>Sensor Hub S</v>
      </c>
      <c r="G263" s="4" t="str">
        <f aca="false">INDEX(Products!$C$2:$C$9,MATCH(E263,Products!$A$2:$A$9,0))</f>
        <v>Hardware</v>
      </c>
      <c r="H263" s="5" t="n">
        <v>2</v>
      </c>
      <c r="I263" s="6" t="n">
        <f aca="false">INDEX(Products!$D$2:$D$9,MATCH(E263,Products!$A$2:$A$9,0))</f>
        <v>189</v>
      </c>
      <c r="J263" s="7" t="n">
        <v>0</v>
      </c>
      <c r="K263" s="8" t="n">
        <f aca="false">H263*I263*(1-J263)</f>
        <v>378</v>
      </c>
      <c r="L263" s="6" t="n">
        <f aca="false">H263*INDEX(Products!$E$2:$E$9,MATCH(E263,Products!$A$2:$A$9,0))</f>
        <v>196</v>
      </c>
      <c r="M263" s="8" t="n">
        <f aca="false">K263-L263</f>
        <v>182</v>
      </c>
      <c r="N263" s="2" t="s">
        <v>28</v>
      </c>
      <c r="O263" s="2" t="s">
        <v>52</v>
      </c>
    </row>
    <row r="264" customFormat="false" ht="15" hidden="false" customHeight="false" outlineLevel="0" collapsed="false">
      <c r="A264" s="2" t="s">
        <v>318</v>
      </c>
      <c r="B264" s="3" t="n">
        <v>45763</v>
      </c>
      <c r="C264" s="2" t="s">
        <v>41</v>
      </c>
      <c r="D264" s="2" t="s">
        <v>66</v>
      </c>
      <c r="E264" s="2" t="s">
        <v>32</v>
      </c>
      <c r="F264" s="4" t="str">
        <f aca="false">INDEX(Products!$B$2:$B$9,MATCH(E264,Products!$A$2:$A$9,0))</f>
        <v>Analytics Plus</v>
      </c>
      <c r="G264" s="4" t="str">
        <f aca="false">INDEX(Products!$C$2:$C$9,MATCH(E264,Products!$A$2:$A$9,0))</f>
        <v>Software</v>
      </c>
      <c r="H264" s="5" t="n">
        <v>5</v>
      </c>
      <c r="I264" s="6" t="n">
        <f aca="false">INDEX(Products!$D$2:$D$9,MATCH(E264,Products!$A$2:$A$9,0))</f>
        <v>290</v>
      </c>
      <c r="J264" s="7" t="n">
        <v>0.1</v>
      </c>
      <c r="K264" s="8" t="n">
        <f aca="false">H264*I264*(1-J264)</f>
        <v>1305</v>
      </c>
      <c r="L264" s="6" t="n">
        <f aca="false">H264*INDEX(Products!$E$2:$E$9,MATCH(E264,Products!$A$2:$A$9,0))</f>
        <v>205</v>
      </c>
      <c r="M264" s="8" t="n">
        <f aca="false">K264-L264</f>
        <v>1100</v>
      </c>
      <c r="N264" s="2" t="s">
        <v>19</v>
      </c>
      <c r="O264" s="2" t="s">
        <v>52</v>
      </c>
    </row>
    <row r="265" customFormat="false" ht="15" hidden="false" customHeight="false" outlineLevel="0" collapsed="false">
      <c r="A265" s="2" t="s">
        <v>319</v>
      </c>
      <c r="B265" s="3" t="n">
        <v>45763</v>
      </c>
      <c r="C265" s="2" t="s">
        <v>41</v>
      </c>
      <c r="D265" s="2" t="s">
        <v>66</v>
      </c>
      <c r="E265" s="2" t="s">
        <v>49</v>
      </c>
      <c r="F265" s="4" t="str">
        <f aca="false">INDEX(Products!$B$2:$B$9,MATCH(E265,Products!$A$2:$A$9,0))</f>
        <v>Mounting Kit</v>
      </c>
      <c r="G265" s="4" t="str">
        <f aca="false">INDEX(Products!$C$2:$C$9,MATCH(E265,Products!$A$2:$A$9,0))</f>
        <v>Accessories</v>
      </c>
      <c r="H265" s="5" t="n">
        <v>3</v>
      </c>
      <c r="I265" s="6" t="n">
        <f aca="false">INDEX(Products!$D$2:$D$9,MATCH(E265,Products!$A$2:$A$9,0))</f>
        <v>39</v>
      </c>
      <c r="J265" s="7" t="n">
        <v>0.05</v>
      </c>
      <c r="K265" s="8" t="n">
        <f aca="false">H265*I265*(1-J265)</f>
        <v>111.15</v>
      </c>
      <c r="L265" s="6" t="n">
        <f aca="false">H265*INDEX(Products!$E$2:$E$9,MATCH(E265,Products!$A$2:$A$9,0))</f>
        <v>94.5</v>
      </c>
      <c r="M265" s="8" t="n">
        <f aca="false">K265-L265</f>
        <v>16.65</v>
      </c>
      <c r="N265" s="2" t="s">
        <v>28</v>
      </c>
      <c r="O265" s="2" t="s">
        <v>52</v>
      </c>
    </row>
    <row r="266" customFormat="false" ht="15" hidden="false" customHeight="false" outlineLevel="0" collapsed="false">
      <c r="A266" s="2" t="s">
        <v>320</v>
      </c>
      <c r="B266" s="3" t="n">
        <v>45764</v>
      </c>
      <c r="C266" s="2" t="s">
        <v>30</v>
      </c>
      <c r="D266" s="2" t="s">
        <v>77</v>
      </c>
      <c r="E266" s="2" t="s">
        <v>18</v>
      </c>
      <c r="F266" s="4" t="str">
        <f aca="false">INDEX(Products!$B$2:$B$9,MATCH(E266,Products!$A$2:$A$9,0))</f>
        <v>Sensor Hub Pro</v>
      </c>
      <c r="G266" s="4" t="str">
        <f aca="false">INDEX(Products!$C$2:$C$9,MATCH(E266,Products!$A$2:$A$9,0))</f>
        <v>Hardware</v>
      </c>
      <c r="H266" s="5" t="n">
        <v>3</v>
      </c>
      <c r="I266" s="6" t="n">
        <f aca="false">INDEX(Products!$D$2:$D$9,MATCH(E266,Products!$A$2:$A$9,0))</f>
        <v>349</v>
      </c>
      <c r="J266" s="7" t="n">
        <v>0</v>
      </c>
      <c r="K266" s="8" t="n">
        <f aca="false">H266*I266*(1-J266)</f>
        <v>1047</v>
      </c>
      <c r="L266" s="6" t="n">
        <f aca="false">H266*INDEX(Products!$E$2:$E$9,MATCH(E266,Products!$A$2:$A$9,0))</f>
        <v>603</v>
      </c>
      <c r="M266" s="8" t="n">
        <f aca="false">K266-L266</f>
        <v>444</v>
      </c>
      <c r="N266" s="2" t="s">
        <v>38</v>
      </c>
      <c r="O266" s="2" t="s">
        <v>33</v>
      </c>
    </row>
    <row r="267" customFormat="false" ht="15" hidden="false" customHeight="false" outlineLevel="0" collapsed="false">
      <c r="A267" s="2" t="s">
        <v>321</v>
      </c>
      <c r="B267" s="3" t="n">
        <v>45764</v>
      </c>
      <c r="C267" s="2" t="s">
        <v>41</v>
      </c>
      <c r="D267" s="2" t="s">
        <v>66</v>
      </c>
      <c r="E267" s="2" t="s">
        <v>61</v>
      </c>
      <c r="F267" s="4" t="str">
        <f aca="false">INDEX(Products!$B$2:$B$9,MATCH(E267,Products!$A$2:$A$9,0))</f>
        <v>Install Service</v>
      </c>
      <c r="G267" s="4" t="str">
        <f aca="false">INDEX(Products!$C$2:$C$9,MATCH(E267,Products!$A$2:$A$9,0))</f>
        <v>Services</v>
      </c>
      <c r="H267" s="5" t="n">
        <v>1</v>
      </c>
      <c r="I267" s="6" t="n">
        <f aca="false">INDEX(Products!$D$2:$D$9,MATCH(E267,Products!$A$2:$A$9,0))</f>
        <v>450</v>
      </c>
      <c r="J267" s="7" t="n">
        <v>0.05</v>
      </c>
      <c r="K267" s="8" t="n">
        <f aca="false">H267*I267*(1-J267)</f>
        <v>427.5</v>
      </c>
      <c r="L267" s="6" t="n">
        <f aca="false">H267*INDEX(Products!$E$2:$E$9,MATCH(E267,Products!$A$2:$A$9,0))</f>
        <v>310</v>
      </c>
      <c r="M267" s="8" t="n">
        <f aca="false">K267-L267</f>
        <v>117.5</v>
      </c>
      <c r="N267" s="2" t="s">
        <v>28</v>
      </c>
      <c r="O267" s="2" t="s">
        <v>52</v>
      </c>
    </row>
    <row r="268" customFormat="false" ht="15" hidden="false" customHeight="false" outlineLevel="0" collapsed="false">
      <c r="A268" s="2" t="s">
        <v>322</v>
      </c>
      <c r="B268" s="3" t="n">
        <v>45764</v>
      </c>
      <c r="C268" s="2" t="s">
        <v>16</v>
      </c>
      <c r="D268" s="2" t="s">
        <v>22</v>
      </c>
      <c r="E268" s="2" t="s">
        <v>32</v>
      </c>
      <c r="F268" s="4" t="str">
        <f aca="false">INDEX(Products!$B$2:$B$9,MATCH(E268,Products!$A$2:$A$9,0))</f>
        <v>Analytics Plus</v>
      </c>
      <c r="G268" s="4" t="str">
        <f aca="false">INDEX(Products!$C$2:$C$9,MATCH(E268,Products!$A$2:$A$9,0))</f>
        <v>Software</v>
      </c>
      <c r="H268" s="5" t="n">
        <v>3</v>
      </c>
      <c r="I268" s="6" t="n">
        <f aca="false">INDEX(Products!$D$2:$D$9,MATCH(E268,Products!$A$2:$A$9,0))</f>
        <v>290</v>
      </c>
      <c r="J268" s="7" t="n">
        <v>0</v>
      </c>
      <c r="K268" s="8" t="n">
        <f aca="false">H268*I268*(1-J268)</f>
        <v>870</v>
      </c>
      <c r="L268" s="6" t="n">
        <f aca="false">H268*INDEX(Products!$E$2:$E$9,MATCH(E268,Products!$A$2:$A$9,0))</f>
        <v>123</v>
      </c>
      <c r="M268" s="8" t="n">
        <f aca="false">K268-L268</f>
        <v>747</v>
      </c>
      <c r="N268" s="2" t="s">
        <v>28</v>
      </c>
      <c r="O268" s="2" t="s">
        <v>36</v>
      </c>
    </row>
    <row r="269" customFormat="false" ht="15" hidden="false" customHeight="false" outlineLevel="0" collapsed="false">
      <c r="A269" s="2" t="s">
        <v>323</v>
      </c>
      <c r="B269" s="3" t="n">
        <v>45764</v>
      </c>
      <c r="C269" s="2" t="s">
        <v>16</v>
      </c>
      <c r="D269" s="2" t="s">
        <v>22</v>
      </c>
      <c r="E269" s="2" t="s">
        <v>26</v>
      </c>
      <c r="F269" s="4" t="str">
        <f aca="false">INDEX(Products!$B$2:$B$9,MATCH(E269,Products!$A$2:$A$9,0))</f>
        <v>Analytics Basic</v>
      </c>
      <c r="G269" s="4" t="str">
        <f aca="false">INDEX(Products!$C$2:$C$9,MATCH(E269,Products!$A$2:$A$9,0))</f>
        <v>Software</v>
      </c>
      <c r="H269" s="5" t="n">
        <v>5</v>
      </c>
      <c r="I269" s="6" t="n">
        <f aca="false">INDEX(Products!$D$2:$D$9,MATCH(E269,Products!$A$2:$A$9,0))</f>
        <v>120</v>
      </c>
      <c r="J269" s="7" t="n">
        <v>0.1</v>
      </c>
      <c r="K269" s="8" t="n">
        <f aca="false">H269*I269*(1-J269)</f>
        <v>540</v>
      </c>
      <c r="L269" s="6" t="n">
        <f aca="false">H269*INDEX(Products!$E$2:$E$9,MATCH(E269,Products!$A$2:$A$9,0))</f>
        <v>90</v>
      </c>
      <c r="M269" s="8" t="n">
        <f aca="false">K269-L269</f>
        <v>450</v>
      </c>
      <c r="N269" s="2" t="s">
        <v>28</v>
      </c>
      <c r="O269" s="2" t="s">
        <v>36</v>
      </c>
    </row>
    <row r="270" customFormat="false" ht="15" hidden="false" customHeight="false" outlineLevel="0" collapsed="false">
      <c r="A270" s="2" t="s">
        <v>324</v>
      </c>
      <c r="B270" s="3" t="n">
        <v>45765</v>
      </c>
      <c r="C270" s="2" t="s">
        <v>59</v>
      </c>
      <c r="D270" s="2" t="s">
        <v>91</v>
      </c>
      <c r="E270" s="2" t="s">
        <v>49</v>
      </c>
      <c r="F270" s="4" t="str">
        <f aca="false">INDEX(Products!$B$2:$B$9,MATCH(E270,Products!$A$2:$A$9,0))</f>
        <v>Mounting Kit</v>
      </c>
      <c r="G270" s="4" t="str">
        <f aca="false">INDEX(Products!$C$2:$C$9,MATCH(E270,Products!$A$2:$A$9,0))</f>
        <v>Accessories</v>
      </c>
      <c r="H270" s="5" t="n">
        <v>2</v>
      </c>
      <c r="I270" s="6" t="n">
        <f aca="false">INDEX(Products!$D$2:$D$9,MATCH(E270,Products!$A$2:$A$9,0))</f>
        <v>39</v>
      </c>
      <c r="J270" s="7" t="n">
        <v>0.05</v>
      </c>
      <c r="K270" s="8" t="n">
        <f aca="false">H270*I270*(1-J270)</f>
        <v>74.1</v>
      </c>
      <c r="L270" s="6" t="n">
        <f aca="false">H270*INDEX(Products!$E$2:$E$9,MATCH(E270,Products!$A$2:$A$9,0))</f>
        <v>63</v>
      </c>
      <c r="M270" s="8" t="n">
        <f aca="false">K270-L270</f>
        <v>11.1</v>
      </c>
      <c r="N270" s="2" t="s">
        <v>28</v>
      </c>
      <c r="O270" s="2" t="s">
        <v>62</v>
      </c>
    </row>
    <row r="271" customFormat="false" ht="15" hidden="false" customHeight="false" outlineLevel="0" collapsed="false">
      <c r="A271" s="2" t="s">
        <v>325</v>
      </c>
      <c r="B271" s="3" t="n">
        <v>45766</v>
      </c>
      <c r="C271" s="2" t="s">
        <v>16</v>
      </c>
      <c r="D271" s="2" t="s">
        <v>17</v>
      </c>
      <c r="E271" s="2" t="s">
        <v>61</v>
      </c>
      <c r="F271" s="4" t="str">
        <f aca="false">INDEX(Products!$B$2:$B$9,MATCH(E271,Products!$A$2:$A$9,0))</f>
        <v>Install Service</v>
      </c>
      <c r="G271" s="4" t="str">
        <f aca="false">INDEX(Products!$C$2:$C$9,MATCH(E271,Products!$A$2:$A$9,0))</f>
        <v>Services</v>
      </c>
      <c r="H271" s="5" t="n">
        <v>5</v>
      </c>
      <c r="I271" s="6" t="n">
        <f aca="false">INDEX(Products!$D$2:$D$9,MATCH(E271,Products!$A$2:$A$9,0))</f>
        <v>450</v>
      </c>
      <c r="J271" s="7" t="n">
        <v>0.15</v>
      </c>
      <c r="K271" s="8" t="n">
        <f aca="false">H271*I271*(1-J271)</f>
        <v>1912.5</v>
      </c>
      <c r="L271" s="6" t="n">
        <f aca="false">H271*INDEX(Products!$E$2:$E$9,MATCH(E271,Products!$A$2:$A$9,0))</f>
        <v>1550</v>
      </c>
      <c r="M271" s="8" t="n">
        <f aca="false">K271-L271</f>
        <v>362.5</v>
      </c>
      <c r="N271" s="2" t="s">
        <v>19</v>
      </c>
      <c r="O271" s="2" t="s">
        <v>36</v>
      </c>
    </row>
    <row r="272" customFormat="false" ht="15" hidden="false" customHeight="false" outlineLevel="0" collapsed="false">
      <c r="A272" s="2" t="s">
        <v>326</v>
      </c>
      <c r="B272" s="3" t="n">
        <v>45768</v>
      </c>
      <c r="C272" s="2" t="s">
        <v>16</v>
      </c>
      <c r="D272" s="2" t="s">
        <v>35</v>
      </c>
      <c r="E272" s="2" t="s">
        <v>68</v>
      </c>
      <c r="F272" s="4" t="str">
        <f aca="false">INDEX(Products!$B$2:$B$9,MATCH(E272,Products!$A$2:$A$9,0))</f>
        <v>Premium Support</v>
      </c>
      <c r="G272" s="4" t="str">
        <f aca="false">INDEX(Products!$C$2:$C$9,MATCH(E272,Products!$A$2:$A$9,0))</f>
        <v>Services</v>
      </c>
      <c r="H272" s="5" t="n">
        <v>2</v>
      </c>
      <c r="I272" s="6" t="n">
        <f aca="false">INDEX(Products!$D$2:$D$9,MATCH(E272,Products!$A$2:$A$9,0))</f>
        <v>600</v>
      </c>
      <c r="J272" s="7" t="n">
        <v>0.1</v>
      </c>
      <c r="K272" s="8" t="n">
        <f aca="false">H272*I272*(1-J272)</f>
        <v>1080</v>
      </c>
      <c r="L272" s="6" t="n">
        <f aca="false">H272*INDEX(Products!$E$2:$E$9,MATCH(E272,Products!$A$2:$A$9,0))</f>
        <v>790</v>
      </c>
      <c r="M272" s="8" t="n">
        <f aca="false">K272-L272</f>
        <v>290</v>
      </c>
      <c r="N272" s="2" t="s">
        <v>28</v>
      </c>
      <c r="O272" s="2" t="s">
        <v>36</v>
      </c>
    </row>
    <row r="273" customFormat="false" ht="15" hidden="false" customHeight="false" outlineLevel="0" collapsed="false">
      <c r="A273" s="2" t="s">
        <v>327</v>
      </c>
      <c r="B273" s="3" t="n">
        <v>45768</v>
      </c>
      <c r="C273" s="2" t="s">
        <v>16</v>
      </c>
      <c r="D273" s="2" t="s">
        <v>35</v>
      </c>
      <c r="E273" s="2" t="s">
        <v>26</v>
      </c>
      <c r="F273" s="4" t="str">
        <f aca="false">INDEX(Products!$B$2:$B$9,MATCH(E273,Products!$A$2:$A$9,0))</f>
        <v>Analytics Basic</v>
      </c>
      <c r="G273" s="4" t="str">
        <f aca="false">INDEX(Products!$C$2:$C$9,MATCH(E273,Products!$A$2:$A$9,0))</f>
        <v>Software</v>
      </c>
      <c r="H273" s="5" t="n">
        <v>1</v>
      </c>
      <c r="I273" s="6" t="n">
        <f aca="false">INDEX(Products!$D$2:$D$9,MATCH(E273,Products!$A$2:$A$9,0))</f>
        <v>120</v>
      </c>
      <c r="J273" s="7" t="n">
        <v>0</v>
      </c>
      <c r="K273" s="8" t="n">
        <f aca="false">H273*I273*(1-J273)</f>
        <v>120</v>
      </c>
      <c r="L273" s="6" t="n">
        <f aca="false">H273*INDEX(Products!$E$2:$E$9,MATCH(E273,Products!$A$2:$A$9,0))</f>
        <v>18</v>
      </c>
      <c r="M273" s="8" t="n">
        <f aca="false">K273-L273</f>
        <v>102</v>
      </c>
      <c r="N273" s="2" t="s">
        <v>38</v>
      </c>
      <c r="O273" s="2" t="s">
        <v>20</v>
      </c>
    </row>
    <row r="274" customFormat="false" ht="15" hidden="false" customHeight="false" outlineLevel="0" collapsed="false">
      <c r="A274" s="2" t="s">
        <v>328</v>
      </c>
      <c r="B274" s="3" t="n">
        <v>45768</v>
      </c>
      <c r="C274" s="2" t="s">
        <v>59</v>
      </c>
      <c r="D274" s="2" t="s">
        <v>60</v>
      </c>
      <c r="E274" s="2" t="s">
        <v>26</v>
      </c>
      <c r="F274" s="4" t="str">
        <f aca="false">INDEX(Products!$B$2:$B$9,MATCH(E274,Products!$A$2:$A$9,0))</f>
        <v>Analytics Basic</v>
      </c>
      <c r="G274" s="4" t="str">
        <f aca="false">INDEX(Products!$C$2:$C$9,MATCH(E274,Products!$A$2:$A$9,0))</f>
        <v>Software</v>
      </c>
      <c r="H274" s="5" t="n">
        <v>2</v>
      </c>
      <c r="I274" s="6" t="n">
        <f aca="false">INDEX(Products!$D$2:$D$9,MATCH(E274,Products!$A$2:$A$9,0))</f>
        <v>120</v>
      </c>
      <c r="J274" s="7" t="n">
        <v>0</v>
      </c>
      <c r="K274" s="8" t="n">
        <f aca="false">H274*I274*(1-J274)</f>
        <v>240</v>
      </c>
      <c r="L274" s="6" t="n">
        <f aca="false">H274*INDEX(Products!$E$2:$E$9,MATCH(E274,Products!$A$2:$A$9,0))</f>
        <v>36</v>
      </c>
      <c r="M274" s="8" t="n">
        <f aca="false">K274-L274</f>
        <v>204</v>
      </c>
      <c r="N274" s="2" t="s">
        <v>38</v>
      </c>
      <c r="O274" s="2" t="s">
        <v>62</v>
      </c>
    </row>
    <row r="275" customFormat="false" ht="15" hidden="false" customHeight="false" outlineLevel="0" collapsed="false">
      <c r="A275" s="2" t="s">
        <v>329</v>
      </c>
      <c r="B275" s="3" t="n">
        <v>45768</v>
      </c>
      <c r="C275" s="2" t="s">
        <v>16</v>
      </c>
      <c r="D275" s="2" t="s">
        <v>35</v>
      </c>
      <c r="E275" s="2" t="s">
        <v>68</v>
      </c>
      <c r="F275" s="4" t="str">
        <f aca="false">INDEX(Products!$B$2:$B$9,MATCH(E275,Products!$A$2:$A$9,0))</f>
        <v>Premium Support</v>
      </c>
      <c r="G275" s="4" t="str">
        <f aca="false">INDEX(Products!$C$2:$C$9,MATCH(E275,Products!$A$2:$A$9,0))</f>
        <v>Services</v>
      </c>
      <c r="H275" s="5" t="n">
        <v>1</v>
      </c>
      <c r="I275" s="6" t="n">
        <f aca="false">INDEX(Products!$D$2:$D$9,MATCH(E275,Products!$A$2:$A$9,0))</f>
        <v>600</v>
      </c>
      <c r="J275" s="7" t="n">
        <v>0.05</v>
      </c>
      <c r="K275" s="8" t="n">
        <f aca="false">H275*I275*(1-J275)</f>
        <v>570</v>
      </c>
      <c r="L275" s="6" t="n">
        <f aca="false">H275*INDEX(Products!$E$2:$E$9,MATCH(E275,Products!$A$2:$A$9,0))</f>
        <v>395</v>
      </c>
      <c r="M275" s="8" t="n">
        <f aca="false">K275-L275</f>
        <v>175</v>
      </c>
      <c r="N275" s="2" t="s">
        <v>28</v>
      </c>
      <c r="O275" s="2" t="s">
        <v>36</v>
      </c>
    </row>
    <row r="276" customFormat="false" ht="15" hidden="false" customHeight="false" outlineLevel="0" collapsed="false">
      <c r="A276" s="2" t="s">
        <v>330</v>
      </c>
      <c r="B276" s="3" t="n">
        <v>45769</v>
      </c>
      <c r="C276" s="2" t="s">
        <v>16</v>
      </c>
      <c r="D276" s="2" t="s">
        <v>22</v>
      </c>
      <c r="E276" s="2" t="s">
        <v>18</v>
      </c>
      <c r="F276" s="4" t="str">
        <f aca="false">INDEX(Products!$B$2:$B$9,MATCH(E276,Products!$A$2:$A$9,0))</f>
        <v>Sensor Hub Pro</v>
      </c>
      <c r="G276" s="4" t="str">
        <f aca="false">INDEX(Products!$C$2:$C$9,MATCH(E276,Products!$A$2:$A$9,0))</f>
        <v>Hardware</v>
      </c>
      <c r="H276" s="5" t="n">
        <v>3</v>
      </c>
      <c r="I276" s="6" t="n">
        <f aca="false">INDEX(Products!$D$2:$D$9,MATCH(E276,Products!$A$2:$A$9,0))</f>
        <v>349</v>
      </c>
      <c r="J276" s="7" t="n">
        <v>0.25</v>
      </c>
      <c r="K276" s="8" t="n">
        <f aca="false">H276*I276*(1-J276)</f>
        <v>785.25</v>
      </c>
      <c r="L276" s="6" t="n">
        <f aca="false">H276*INDEX(Products!$E$2:$E$9,MATCH(E276,Products!$A$2:$A$9,0))</f>
        <v>603</v>
      </c>
      <c r="M276" s="8" t="n">
        <f aca="false">K276-L276</f>
        <v>182.25</v>
      </c>
      <c r="N276" s="2" t="s">
        <v>19</v>
      </c>
      <c r="O276" s="2" t="s">
        <v>36</v>
      </c>
    </row>
    <row r="277" customFormat="false" ht="15" hidden="false" customHeight="false" outlineLevel="0" collapsed="false">
      <c r="A277" s="2" t="s">
        <v>331</v>
      </c>
      <c r="B277" s="3" t="n">
        <v>45770</v>
      </c>
      <c r="C277" s="2" t="s">
        <v>47</v>
      </c>
      <c r="D277" s="2" t="s">
        <v>55</v>
      </c>
      <c r="E277" s="2" t="s">
        <v>26</v>
      </c>
      <c r="F277" s="4" t="str">
        <f aca="false">INDEX(Products!$B$2:$B$9,MATCH(E277,Products!$A$2:$A$9,0))</f>
        <v>Analytics Basic</v>
      </c>
      <c r="G277" s="4" t="str">
        <f aca="false">INDEX(Products!$C$2:$C$9,MATCH(E277,Products!$A$2:$A$9,0))</f>
        <v>Software</v>
      </c>
      <c r="H277" s="5" t="n">
        <v>1</v>
      </c>
      <c r="I277" s="6" t="n">
        <f aca="false">INDEX(Products!$D$2:$D$9,MATCH(E277,Products!$A$2:$A$9,0))</f>
        <v>120</v>
      </c>
      <c r="J277" s="7" t="n">
        <v>0.1</v>
      </c>
      <c r="K277" s="8" t="n">
        <f aca="false">H277*I277*(1-J277)</f>
        <v>108</v>
      </c>
      <c r="L277" s="6" t="n">
        <f aca="false">H277*INDEX(Products!$E$2:$E$9,MATCH(E277,Products!$A$2:$A$9,0))</f>
        <v>18</v>
      </c>
      <c r="M277" s="8" t="n">
        <f aca="false">K277-L277</f>
        <v>90</v>
      </c>
      <c r="N277" s="2" t="s">
        <v>28</v>
      </c>
      <c r="O277" s="2" t="s">
        <v>72</v>
      </c>
    </row>
    <row r="278" customFormat="false" ht="15" hidden="false" customHeight="false" outlineLevel="0" collapsed="false">
      <c r="A278" s="2" t="s">
        <v>332</v>
      </c>
      <c r="B278" s="3" t="n">
        <v>45770</v>
      </c>
      <c r="C278" s="2" t="s">
        <v>59</v>
      </c>
      <c r="D278" s="2" t="s">
        <v>101</v>
      </c>
      <c r="E278" s="2" t="s">
        <v>26</v>
      </c>
      <c r="F278" s="4" t="str">
        <f aca="false">INDEX(Products!$B$2:$B$9,MATCH(E278,Products!$A$2:$A$9,0))</f>
        <v>Analytics Basic</v>
      </c>
      <c r="G278" s="4" t="str">
        <f aca="false">INDEX(Products!$C$2:$C$9,MATCH(E278,Products!$A$2:$A$9,0))</f>
        <v>Software</v>
      </c>
      <c r="H278" s="5" t="n">
        <v>1</v>
      </c>
      <c r="I278" s="6" t="n">
        <f aca="false">INDEX(Products!$D$2:$D$9,MATCH(E278,Products!$A$2:$A$9,0))</f>
        <v>120</v>
      </c>
      <c r="J278" s="7" t="n">
        <v>0.05</v>
      </c>
      <c r="K278" s="8" t="n">
        <f aca="false">H278*I278*(1-J278)</f>
        <v>114</v>
      </c>
      <c r="L278" s="6" t="n">
        <f aca="false">H278*INDEX(Products!$E$2:$E$9,MATCH(E278,Products!$A$2:$A$9,0))</f>
        <v>18</v>
      </c>
      <c r="M278" s="8" t="n">
        <f aca="false">K278-L278</f>
        <v>96</v>
      </c>
      <c r="N278" s="2" t="s">
        <v>28</v>
      </c>
      <c r="O278" s="2" t="s">
        <v>62</v>
      </c>
    </row>
    <row r="279" customFormat="false" ht="15" hidden="false" customHeight="false" outlineLevel="0" collapsed="false">
      <c r="A279" s="2" t="s">
        <v>333</v>
      </c>
      <c r="B279" s="3" t="n">
        <v>45771</v>
      </c>
      <c r="C279" s="2" t="s">
        <v>41</v>
      </c>
      <c r="D279" s="2" t="s">
        <v>42</v>
      </c>
      <c r="E279" s="2" t="s">
        <v>49</v>
      </c>
      <c r="F279" s="4" t="str">
        <f aca="false">INDEX(Products!$B$2:$B$9,MATCH(E279,Products!$A$2:$A$9,0))</f>
        <v>Mounting Kit</v>
      </c>
      <c r="G279" s="4" t="str">
        <f aca="false">INDEX(Products!$C$2:$C$9,MATCH(E279,Products!$A$2:$A$9,0))</f>
        <v>Accessories</v>
      </c>
      <c r="H279" s="5" t="n">
        <v>3</v>
      </c>
      <c r="I279" s="6" t="n">
        <f aca="false">INDEX(Products!$D$2:$D$9,MATCH(E279,Products!$A$2:$A$9,0))</f>
        <v>39</v>
      </c>
      <c r="J279" s="7" t="n">
        <v>0.15</v>
      </c>
      <c r="K279" s="8" t="n">
        <f aca="false">H279*I279*(1-J279)</f>
        <v>99.45</v>
      </c>
      <c r="L279" s="6" t="n">
        <f aca="false">H279*INDEX(Products!$E$2:$E$9,MATCH(E279,Products!$A$2:$A$9,0))</f>
        <v>94.5</v>
      </c>
      <c r="M279" s="8" t="n">
        <f aca="false">K279-L279</f>
        <v>4.95</v>
      </c>
      <c r="N279" s="2" t="s">
        <v>19</v>
      </c>
      <c r="O279" s="2" t="s">
        <v>52</v>
      </c>
    </row>
    <row r="280" customFormat="false" ht="15" hidden="false" customHeight="false" outlineLevel="0" collapsed="false">
      <c r="A280" s="2" t="s">
        <v>334</v>
      </c>
      <c r="B280" s="3" t="n">
        <v>45771</v>
      </c>
      <c r="C280" s="2" t="s">
        <v>41</v>
      </c>
      <c r="D280" s="2" t="s">
        <v>66</v>
      </c>
      <c r="E280" s="2" t="s">
        <v>32</v>
      </c>
      <c r="F280" s="4" t="str">
        <f aca="false">INDEX(Products!$B$2:$B$9,MATCH(E280,Products!$A$2:$A$9,0))</f>
        <v>Analytics Plus</v>
      </c>
      <c r="G280" s="4" t="str">
        <f aca="false">INDEX(Products!$C$2:$C$9,MATCH(E280,Products!$A$2:$A$9,0))</f>
        <v>Software</v>
      </c>
      <c r="H280" s="5" t="n">
        <v>1</v>
      </c>
      <c r="I280" s="6" t="n">
        <f aca="false">INDEX(Products!$D$2:$D$9,MATCH(E280,Products!$A$2:$A$9,0))</f>
        <v>290</v>
      </c>
      <c r="J280" s="7" t="n">
        <v>0.15</v>
      </c>
      <c r="K280" s="8" t="n">
        <f aca="false">H280*I280*(1-J280)</f>
        <v>246.5</v>
      </c>
      <c r="L280" s="6" t="n">
        <f aca="false">H280*INDEX(Products!$E$2:$E$9,MATCH(E280,Products!$A$2:$A$9,0))</f>
        <v>41</v>
      </c>
      <c r="M280" s="8" t="n">
        <f aca="false">K280-L280</f>
        <v>205.5</v>
      </c>
      <c r="N280" s="2" t="s">
        <v>19</v>
      </c>
      <c r="O280" s="2" t="s">
        <v>43</v>
      </c>
    </row>
    <row r="281" customFormat="false" ht="15" hidden="false" customHeight="false" outlineLevel="0" collapsed="false">
      <c r="A281" s="2" t="s">
        <v>335</v>
      </c>
      <c r="B281" s="3" t="n">
        <v>45772</v>
      </c>
      <c r="C281" s="2" t="s">
        <v>30</v>
      </c>
      <c r="D281" s="2" t="s">
        <v>77</v>
      </c>
      <c r="E281" s="2" t="s">
        <v>32</v>
      </c>
      <c r="F281" s="4" t="str">
        <f aca="false">INDEX(Products!$B$2:$B$9,MATCH(E281,Products!$A$2:$A$9,0))</f>
        <v>Analytics Plus</v>
      </c>
      <c r="G281" s="4" t="str">
        <f aca="false">INDEX(Products!$C$2:$C$9,MATCH(E281,Products!$A$2:$A$9,0))</f>
        <v>Software</v>
      </c>
      <c r="H281" s="5" t="n">
        <v>1</v>
      </c>
      <c r="I281" s="6" t="n">
        <f aca="false">INDEX(Products!$D$2:$D$9,MATCH(E281,Products!$A$2:$A$9,0))</f>
        <v>290</v>
      </c>
      <c r="J281" s="7" t="n">
        <v>0.2</v>
      </c>
      <c r="K281" s="8" t="n">
        <f aca="false">H281*I281*(1-J281)</f>
        <v>232</v>
      </c>
      <c r="L281" s="6" t="n">
        <f aca="false">H281*INDEX(Products!$E$2:$E$9,MATCH(E281,Products!$A$2:$A$9,0))</f>
        <v>41</v>
      </c>
      <c r="M281" s="8" t="n">
        <f aca="false">K281-L281</f>
        <v>191</v>
      </c>
      <c r="N281" s="2" t="s">
        <v>19</v>
      </c>
      <c r="O281" s="2" t="s">
        <v>33</v>
      </c>
    </row>
    <row r="282" customFormat="false" ht="15" hidden="false" customHeight="false" outlineLevel="0" collapsed="false">
      <c r="A282" s="2" t="s">
        <v>336</v>
      </c>
      <c r="B282" s="3" t="n">
        <v>45772</v>
      </c>
      <c r="C282" s="2" t="s">
        <v>41</v>
      </c>
      <c r="D282" s="2" t="s">
        <v>66</v>
      </c>
      <c r="E282" s="2" t="s">
        <v>18</v>
      </c>
      <c r="F282" s="4" t="str">
        <f aca="false">INDEX(Products!$B$2:$B$9,MATCH(E282,Products!$A$2:$A$9,0))</f>
        <v>Sensor Hub Pro</v>
      </c>
      <c r="G282" s="4" t="str">
        <f aca="false">INDEX(Products!$C$2:$C$9,MATCH(E282,Products!$A$2:$A$9,0))</f>
        <v>Hardware</v>
      </c>
      <c r="H282" s="5" t="n">
        <v>2</v>
      </c>
      <c r="I282" s="6" t="n">
        <f aca="false">INDEX(Products!$D$2:$D$9,MATCH(E282,Products!$A$2:$A$9,0))</f>
        <v>349</v>
      </c>
      <c r="J282" s="7" t="n">
        <v>0.05</v>
      </c>
      <c r="K282" s="8" t="n">
        <f aca="false">H282*I282*(1-J282)</f>
        <v>663.1</v>
      </c>
      <c r="L282" s="6" t="n">
        <f aca="false">H282*INDEX(Products!$E$2:$E$9,MATCH(E282,Products!$A$2:$A$9,0))</f>
        <v>402</v>
      </c>
      <c r="M282" s="8" t="n">
        <f aca="false">K282-L282</f>
        <v>261.1</v>
      </c>
      <c r="N282" s="2" t="s">
        <v>28</v>
      </c>
      <c r="O282" s="2" t="s">
        <v>52</v>
      </c>
    </row>
    <row r="283" customFormat="false" ht="15" hidden="false" customHeight="false" outlineLevel="0" collapsed="false">
      <c r="A283" s="2" t="s">
        <v>337</v>
      </c>
      <c r="B283" s="3" t="n">
        <v>45775</v>
      </c>
      <c r="C283" s="2" t="s">
        <v>30</v>
      </c>
      <c r="D283" s="2" t="s">
        <v>31</v>
      </c>
      <c r="E283" s="2" t="s">
        <v>61</v>
      </c>
      <c r="F283" s="4" t="str">
        <f aca="false">INDEX(Products!$B$2:$B$9,MATCH(E283,Products!$A$2:$A$9,0))</f>
        <v>Install Service</v>
      </c>
      <c r="G283" s="4" t="str">
        <f aca="false">INDEX(Products!$C$2:$C$9,MATCH(E283,Products!$A$2:$A$9,0))</f>
        <v>Services</v>
      </c>
      <c r="H283" s="5" t="n">
        <v>5</v>
      </c>
      <c r="I283" s="6" t="n">
        <f aca="false">INDEX(Products!$D$2:$D$9,MATCH(E283,Products!$A$2:$A$9,0))</f>
        <v>450</v>
      </c>
      <c r="J283" s="7" t="n">
        <v>0.25</v>
      </c>
      <c r="K283" s="8" t="n">
        <f aca="false">H283*I283*(1-J283)</f>
        <v>1687.5</v>
      </c>
      <c r="L283" s="6" t="n">
        <f aca="false">H283*INDEX(Products!$E$2:$E$9,MATCH(E283,Products!$A$2:$A$9,0))</f>
        <v>1550</v>
      </c>
      <c r="M283" s="8" t="n">
        <f aca="false">K283-L283</f>
        <v>137.5</v>
      </c>
      <c r="N283" s="2" t="s">
        <v>19</v>
      </c>
      <c r="O283" s="2" t="s">
        <v>33</v>
      </c>
    </row>
    <row r="284" customFormat="false" ht="15" hidden="false" customHeight="false" outlineLevel="0" collapsed="false">
      <c r="A284" s="2" t="s">
        <v>338</v>
      </c>
      <c r="B284" s="3" t="n">
        <v>45775</v>
      </c>
      <c r="C284" s="2" t="s">
        <v>47</v>
      </c>
      <c r="D284" s="2" t="s">
        <v>48</v>
      </c>
      <c r="E284" s="2" t="s">
        <v>57</v>
      </c>
      <c r="F284" s="4" t="str">
        <f aca="false">INDEX(Products!$B$2:$B$9,MATCH(E284,Products!$A$2:$A$9,0))</f>
        <v>Edge Gateway</v>
      </c>
      <c r="G284" s="4" t="str">
        <f aca="false">INDEX(Products!$C$2:$C$9,MATCH(E284,Products!$A$2:$A$9,0))</f>
        <v>Hardware</v>
      </c>
      <c r="H284" s="5" t="n">
        <v>12</v>
      </c>
      <c r="I284" s="6" t="n">
        <f aca="false">INDEX(Products!$D$2:$D$9,MATCH(E284,Products!$A$2:$A$9,0))</f>
        <v>899</v>
      </c>
      <c r="J284" s="7" t="n">
        <v>0.15</v>
      </c>
      <c r="K284" s="8" t="n">
        <f aca="false">H284*I284*(1-J284)</f>
        <v>9169.8</v>
      </c>
      <c r="L284" s="6" t="n">
        <f aca="false">H284*INDEX(Products!$E$2:$E$9,MATCH(E284,Products!$A$2:$A$9,0))</f>
        <v>7344</v>
      </c>
      <c r="M284" s="8" t="n">
        <f aca="false">K284-L284</f>
        <v>1825.8</v>
      </c>
      <c r="N284" s="2" t="s">
        <v>28</v>
      </c>
      <c r="O284" s="2" t="s">
        <v>72</v>
      </c>
    </row>
    <row r="285" customFormat="false" ht="15" hidden="false" customHeight="false" outlineLevel="0" collapsed="false">
      <c r="A285" s="2" t="s">
        <v>339</v>
      </c>
      <c r="B285" s="3" t="n">
        <v>45776</v>
      </c>
      <c r="C285" s="2" t="s">
        <v>47</v>
      </c>
      <c r="D285" s="2" t="s">
        <v>71</v>
      </c>
      <c r="E285" s="2" t="s">
        <v>32</v>
      </c>
      <c r="F285" s="4" t="str">
        <f aca="false">INDEX(Products!$B$2:$B$9,MATCH(E285,Products!$A$2:$A$9,0))</f>
        <v>Analytics Plus</v>
      </c>
      <c r="G285" s="4" t="str">
        <f aca="false">INDEX(Products!$C$2:$C$9,MATCH(E285,Products!$A$2:$A$9,0))</f>
        <v>Software</v>
      </c>
      <c r="H285" s="5" t="n">
        <v>5</v>
      </c>
      <c r="I285" s="6" t="n">
        <f aca="false">INDEX(Products!$D$2:$D$9,MATCH(E285,Products!$A$2:$A$9,0))</f>
        <v>290</v>
      </c>
      <c r="J285" s="7" t="n">
        <v>0.1</v>
      </c>
      <c r="K285" s="8" t="n">
        <f aca="false">H285*I285*(1-J285)</f>
        <v>1305</v>
      </c>
      <c r="L285" s="6" t="n">
        <f aca="false">H285*INDEX(Products!$E$2:$E$9,MATCH(E285,Products!$A$2:$A$9,0))</f>
        <v>205</v>
      </c>
      <c r="M285" s="8" t="n">
        <f aca="false">K285-L285</f>
        <v>1100</v>
      </c>
      <c r="N285" s="2" t="s">
        <v>19</v>
      </c>
      <c r="O285" s="2" t="s">
        <v>72</v>
      </c>
    </row>
    <row r="286" customFormat="false" ht="15" hidden="false" customHeight="false" outlineLevel="0" collapsed="false">
      <c r="A286" s="2" t="s">
        <v>340</v>
      </c>
      <c r="B286" s="3" t="n">
        <v>45776</v>
      </c>
      <c r="C286" s="2" t="s">
        <v>47</v>
      </c>
      <c r="D286" s="2" t="s">
        <v>71</v>
      </c>
      <c r="E286" s="2" t="s">
        <v>26</v>
      </c>
      <c r="F286" s="4" t="str">
        <f aca="false">INDEX(Products!$B$2:$B$9,MATCH(E286,Products!$A$2:$A$9,0))</f>
        <v>Analytics Basic</v>
      </c>
      <c r="G286" s="4" t="str">
        <f aca="false">INDEX(Products!$C$2:$C$9,MATCH(E286,Products!$A$2:$A$9,0))</f>
        <v>Software</v>
      </c>
      <c r="H286" s="5" t="n">
        <v>2</v>
      </c>
      <c r="I286" s="6" t="n">
        <f aca="false">INDEX(Products!$D$2:$D$9,MATCH(E286,Products!$A$2:$A$9,0))</f>
        <v>120</v>
      </c>
      <c r="J286" s="7" t="n">
        <v>0.15</v>
      </c>
      <c r="K286" s="8" t="n">
        <f aca="false">H286*I286*(1-J286)</f>
        <v>204</v>
      </c>
      <c r="L286" s="6" t="n">
        <f aca="false">H286*INDEX(Products!$E$2:$E$9,MATCH(E286,Products!$A$2:$A$9,0))</f>
        <v>36</v>
      </c>
      <c r="M286" s="8" t="n">
        <f aca="false">K286-L286</f>
        <v>168</v>
      </c>
      <c r="N286" s="2" t="s">
        <v>19</v>
      </c>
      <c r="O286" s="2" t="s">
        <v>50</v>
      </c>
    </row>
    <row r="287" customFormat="false" ht="15" hidden="false" customHeight="false" outlineLevel="0" collapsed="false">
      <c r="A287" s="2" t="s">
        <v>341</v>
      </c>
      <c r="B287" s="3" t="n">
        <v>45776</v>
      </c>
      <c r="C287" s="2" t="s">
        <v>41</v>
      </c>
      <c r="D287" s="2" t="s">
        <v>42</v>
      </c>
      <c r="E287" s="2" t="s">
        <v>57</v>
      </c>
      <c r="F287" s="4" t="str">
        <f aca="false">INDEX(Products!$B$2:$B$9,MATCH(E287,Products!$A$2:$A$9,0))</f>
        <v>Edge Gateway</v>
      </c>
      <c r="G287" s="4" t="str">
        <f aca="false">INDEX(Products!$C$2:$C$9,MATCH(E287,Products!$A$2:$A$9,0))</f>
        <v>Hardware</v>
      </c>
      <c r="H287" s="5" t="n">
        <v>1</v>
      </c>
      <c r="I287" s="6" t="n">
        <f aca="false">INDEX(Products!$D$2:$D$9,MATCH(E287,Products!$A$2:$A$9,0))</f>
        <v>899</v>
      </c>
      <c r="J287" s="7" t="n">
        <v>0.15</v>
      </c>
      <c r="K287" s="8" t="n">
        <f aca="false">H287*I287*(1-J287)</f>
        <v>764.15</v>
      </c>
      <c r="L287" s="6" t="n">
        <f aca="false">H287*INDEX(Products!$E$2:$E$9,MATCH(E287,Products!$A$2:$A$9,0))</f>
        <v>612</v>
      </c>
      <c r="M287" s="8" t="n">
        <f aca="false">K287-L287</f>
        <v>152.15</v>
      </c>
      <c r="N287" s="2" t="s">
        <v>19</v>
      </c>
      <c r="O287" s="2" t="s">
        <v>43</v>
      </c>
    </row>
    <row r="288" customFormat="false" ht="15" hidden="false" customHeight="false" outlineLevel="0" collapsed="false">
      <c r="A288" s="2" t="s">
        <v>342</v>
      </c>
      <c r="B288" s="3" t="n">
        <v>45776</v>
      </c>
      <c r="C288" s="2" t="s">
        <v>47</v>
      </c>
      <c r="D288" s="2" t="s">
        <v>71</v>
      </c>
      <c r="E288" s="2" t="s">
        <v>32</v>
      </c>
      <c r="F288" s="4" t="str">
        <f aca="false">INDEX(Products!$B$2:$B$9,MATCH(E288,Products!$A$2:$A$9,0))</f>
        <v>Analytics Plus</v>
      </c>
      <c r="G288" s="4" t="str">
        <f aca="false">INDEX(Products!$C$2:$C$9,MATCH(E288,Products!$A$2:$A$9,0))</f>
        <v>Software</v>
      </c>
      <c r="H288" s="5" t="n">
        <v>3</v>
      </c>
      <c r="I288" s="6" t="n">
        <f aca="false">INDEX(Products!$D$2:$D$9,MATCH(E288,Products!$A$2:$A$9,0))</f>
        <v>290</v>
      </c>
      <c r="J288" s="7" t="n">
        <v>0</v>
      </c>
      <c r="K288" s="8" t="n">
        <f aca="false">H288*I288*(1-J288)</f>
        <v>870</v>
      </c>
      <c r="L288" s="6" t="n">
        <f aca="false">H288*INDEX(Products!$E$2:$E$9,MATCH(E288,Products!$A$2:$A$9,0))</f>
        <v>123</v>
      </c>
      <c r="M288" s="8" t="n">
        <f aca="false">K288-L288</f>
        <v>747</v>
      </c>
      <c r="N288" s="2" t="s">
        <v>38</v>
      </c>
      <c r="O288" s="2" t="s">
        <v>72</v>
      </c>
    </row>
    <row r="289" customFormat="false" ht="15" hidden="false" customHeight="false" outlineLevel="0" collapsed="false">
      <c r="A289" s="2" t="s">
        <v>343</v>
      </c>
      <c r="B289" s="3" t="n">
        <v>45777</v>
      </c>
      <c r="C289" s="2" t="s">
        <v>16</v>
      </c>
      <c r="D289" s="2" t="s">
        <v>25</v>
      </c>
      <c r="E289" s="2" t="s">
        <v>23</v>
      </c>
      <c r="F289" s="4" t="str">
        <f aca="false">INDEX(Products!$B$2:$B$9,MATCH(E289,Products!$A$2:$A$9,0))</f>
        <v>Sensor Hub S</v>
      </c>
      <c r="G289" s="4" t="str">
        <f aca="false">INDEX(Products!$C$2:$C$9,MATCH(E289,Products!$A$2:$A$9,0))</f>
        <v>Hardware</v>
      </c>
      <c r="H289" s="5" t="n">
        <v>2</v>
      </c>
      <c r="I289" s="6" t="n">
        <f aca="false">INDEX(Products!$D$2:$D$9,MATCH(E289,Products!$A$2:$A$9,0))</f>
        <v>189</v>
      </c>
      <c r="J289" s="7" t="n">
        <v>0.2</v>
      </c>
      <c r="K289" s="8" t="n">
        <f aca="false">H289*I289*(1-J289)</f>
        <v>302.4</v>
      </c>
      <c r="L289" s="6" t="n">
        <f aca="false">H289*INDEX(Products!$E$2:$E$9,MATCH(E289,Products!$A$2:$A$9,0))</f>
        <v>196</v>
      </c>
      <c r="M289" s="8" t="n">
        <f aca="false">K289-L289</f>
        <v>106.4</v>
      </c>
      <c r="N289" s="2" t="s">
        <v>19</v>
      </c>
      <c r="O289" s="2" t="s">
        <v>20</v>
      </c>
    </row>
    <row r="290" customFormat="false" ht="15" hidden="false" customHeight="false" outlineLevel="0" collapsed="false">
      <c r="A290" s="2" t="s">
        <v>344</v>
      </c>
      <c r="B290" s="3" t="n">
        <v>45777</v>
      </c>
      <c r="C290" s="2" t="s">
        <v>59</v>
      </c>
      <c r="D290" s="2" t="s">
        <v>60</v>
      </c>
      <c r="E290" s="2" t="s">
        <v>57</v>
      </c>
      <c r="F290" s="4" t="str">
        <f aca="false">INDEX(Products!$B$2:$B$9,MATCH(E290,Products!$A$2:$A$9,0))</f>
        <v>Edge Gateway</v>
      </c>
      <c r="G290" s="4" t="str">
        <f aca="false">INDEX(Products!$C$2:$C$9,MATCH(E290,Products!$A$2:$A$9,0))</f>
        <v>Hardware</v>
      </c>
      <c r="H290" s="5" t="n">
        <v>5</v>
      </c>
      <c r="I290" s="6" t="n">
        <f aca="false">INDEX(Products!$D$2:$D$9,MATCH(E290,Products!$A$2:$A$9,0))</f>
        <v>899</v>
      </c>
      <c r="J290" s="7" t="n">
        <v>0.1</v>
      </c>
      <c r="K290" s="8" t="n">
        <f aca="false">H290*I290*(1-J290)</f>
        <v>4045.5</v>
      </c>
      <c r="L290" s="6" t="n">
        <f aca="false">H290*INDEX(Products!$E$2:$E$9,MATCH(E290,Products!$A$2:$A$9,0))</f>
        <v>3060</v>
      </c>
      <c r="M290" s="8" t="n">
        <f aca="false">K290-L290</f>
        <v>985.5</v>
      </c>
      <c r="N290" s="2" t="s">
        <v>28</v>
      </c>
      <c r="O290" s="2" t="s">
        <v>62</v>
      </c>
    </row>
    <row r="291" customFormat="false" ht="15" hidden="false" customHeight="false" outlineLevel="0" collapsed="false">
      <c r="A291" s="2" t="s">
        <v>345</v>
      </c>
      <c r="B291" s="3" t="n">
        <v>45777</v>
      </c>
      <c r="C291" s="2" t="s">
        <v>41</v>
      </c>
      <c r="D291" s="2" t="s">
        <v>42</v>
      </c>
      <c r="E291" s="2" t="s">
        <v>57</v>
      </c>
      <c r="F291" s="4" t="str">
        <f aca="false">INDEX(Products!$B$2:$B$9,MATCH(E291,Products!$A$2:$A$9,0))</f>
        <v>Edge Gateway</v>
      </c>
      <c r="G291" s="4" t="str">
        <f aca="false">INDEX(Products!$C$2:$C$9,MATCH(E291,Products!$A$2:$A$9,0))</f>
        <v>Hardware</v>
      </c>
      <c r="H291" s="5" t="n">
        <v>2</v>
      </c>
      <c r="I291" s="6" t="n">
        <f aca="false">INDEX(Products!$D$2:$D$9,MATCH(E291,Products!$A$2:$A$9,0))</f>
        <v>899</v>
      </c>
      <c r="J291" s="7" t="n">
        <v>0.05</v>
      </c>
      <c r="K291" s="8" t="n">
        <f aca="false">H291*I291*(1-J291)</f>
        <v>1708.1</v>
      </c>
      <c r="L291" s="6" t="n">
        <f aca="false">H291*INDEX(Products!$E$2:$E$9,MATCH(E291,Products!$A$2:$A$9,0))</f>
        <v>1224</v>
      </c>
      <c r="M291" s="8" t="n">
        <f aca="false">K291-L291</f>
        <v>484.1</v>
      </c>
      <c r="N291" s="2" t="s">
        <v>38</v>
      </c>
      <c r="O291" s="2" t="s">
        <v>43</v>
      </c>
    </row>
    <row r="292" customFormat="false" ht="15" hidden="false" customHeight="false" outlineLevel="0" collapsed="false">
      <c r="A292" s="2" t="s">
        <v>346</v>
      </c>
      <c r="B292" s="3" t="n">
        <v>45777</v>
      </c>
      <c r="C292" s="2" t="s">
        <v>30</v>
      </c>
      <c r="D292" s="2" t="s">
        <v>128</v>
      </c>
      <c r="E292" s="2" t="s">
        <v>61</v>
      </c>
      <c r="F292" s="4" t="str">
        <f aca="false">INDEX(Products!$B$2:$B$9,MATCH(E292,Products!$A$2:$A$9,0))</f>
        <v>Install Service</v>
      </c>
      <c r="G292" s="4" t="str">
        <f aca="false">INDEX(Products!$C$2:$C$9,MATCH(E292,Products!$A$2:$A$9,0))</f>
        <v>Services</v>
      </c>
      <c r="H292" s="5" t="n">
        <v>1</v>
      </c>
      <c r="I292" s="6" t="n">
        <f aca="false">INDEX(Products!$D$2:$D$9,MATCH(E292,Products!$A$2:$A$9,0))</f>
        <v>450</v>
      </c>
      <c r="J292" s="7" t="n">
        <v>0.1</v>
      </c>
      <c r="K292" s="8" t="n">
        <f aca="false">H292*I292*(1-J292)</f>
        <v>405</v>
      </c>
      <c r="L292" s="6" t="n">
        <f aca="false">H292*INDEX(Products!$E$2:$E$9,MATCH(E292,Products!$A$2:$A$9,0))</f>
        <v>310</v>
      </c>
      <c r="M292" s="8" t="n">
        <f aca="false">K292-L292</f>
        <v>95</v>
      </c>
      <c r="N292" s="2" t="s">
        <v>28</v>
      </c>
      <c r="O292" s="2" t="s">
        <v>33</v>
      </c>
    </row>
    <row r="293" customFormat="false" ht="15" hidden="false" customHeight="false" outlineLevel="0" collapsed="false">
      <c r="A293" s="2" t="s">
        <v>347</v>
      </c>
      <c r="B293" s="3" t="n">
        <v>45777</v>
      </c>
      <c r="C293" s="2" t="s">
        <v>47</v>
      </c>
      <c r="D293" s="2" t="s">
        <v>157</v>
      </c>
      <c r="E293" s="2" t="s">
        <v>68</v>
      </c>
      <c r="F293" s="4" t="str">
        <f aca="false">INDEX(Products!$B$2:$B$9,MATCH(E293,Products!$A$2:$A$9,0))</f>
        <v>Premium Support</v>
      </c>
      <c r="G293" s="4" t="str">
        <f aca="false">INDEX(Products!$C$2:$C$9,MATCH(E293,Products!$A$2:$A$9,0))</f>
        <v>Services</v>
      </c>
      <c r="H293" s="5" t="n">
        <v>1</v>
      </c>
      <c r="I293" s="6" t="n">
        <f aca="false">INDEX(Products!$D$2:$D$9,MATCH(E293,Products!$A$2:$A$9,0))</f>
        <v>600</v>
      </c>
      <c r="J293" s="7" t="n">
        <v>0</v>
      </c>
      <c r="K293" s="8" t="n">
        <f aca="false">H293*I293*(1-J293)</f>
        <v>600</v>
      </c>
      <c r="L293" s="6" t="n">
        <f aca="false">H293*INDEX(Products!$E$2:$E$9,MATCH(E293,Products!$A$2:$A$9,0))</f>
        <v>395</v>
      </c>
      <c r="M293" s="8" t="n">
        <f aca="false">K293-L293</f>
        <v>205</v>
      </c>
      <c r="N293" s="2" t="s">
        <v>28</v>
      </c>
      <c r="O293" s="2" t="s">
        <v>72</v>
      </c>
    </row>
    <row r="294" customFormat="false" ht="15" hidden="false" customHeight="false" outlineLevel="0" collapsed="false">
      <c r="A294" s="2" t="s">
        <v>348</v>
      </c>
      <c r="B294" s="3" t="n">
        <v>45778</v>
      </c>
      <c r="C294" s="2" t="s">
        <v>16</v>
      </c>
      <c r="D294" s="2" t="s">
        <v>22</v>
      </c>
      <c r="E294" s="2" t="s">
        <v>68</v>
      </c>
      <c r="F294" s="4" t="str">
        <f aca="false">INDEX(Products!$B$2:$B$9,MATCH(E294,Products!$A$2:$A$9,0))</f>
        <v>Premium Support</v>
      </c>
      <c r="G294" s="4" t="str">
        <f aca="false">INDEX(Products!$C$2:$C$9,MATCH(E294,Products!$A$2:$A$9,0))</f>
        <v>Services</v>
      </c>
      <c r="H294" s="5" t="n">
        <v>2</v>
      </c>
      <c r="I294" s="6" t="n">
        <f aca="false">INDEX(Products!$D$2:$D$9,MATCH(E294,Products!$A$2:$A$9,0))</f>
        <v>600</v>
      </c>
      <c r="J294" s="7" t="n">
        <v>0.1</v>
      </c>
      <c r="K294" s="8" t="n">
        <f aca="false">H294*I294*(1-J294)</f>
        <v>1080</v>
      </c>
      <c r="L294" s="6" t="n">
        <f aca="false">H294*INDEX(Products!$E$2:$E$9,MATCH(E294,Products!$A$2:$A$9,0))</f>
        <v>790</v>
      </c>
      <c r="M294" s="8" t="n">
        <f aca="false">K294-L294</f>
        <v>290</v>
      </c>
      <c r="N294" s="2" t="s">
        <v>19</v>
      </c>
      <c r="O294" s="2" t="s">
        <v>36</v>
      </c>
    </row>
    <row r="295" customFormat="false" ht="15" hidden="false" customHeight="false" outlineLevel="0" collapsed="false">
      <c r="A295" s="2" t="s">
        <v>349</v>
      </c>
      <c r="B295" s="3" t="n">
        <v>45778</v>
      </c>
      <c r="C295" s="2" t="s">
        <v>16</v>
      </c>
      <c r="D295" s="2" t="s">
        <v>17</v>
      </c>
      <c r="E295" s="2" t="s">
        <v>32</v>
      </c>
      <c r="F295" s="4" t="str">
        <f aca="false">INDEX(Products!$B$2:$B$9,MATCH(E295,Products!$A$2:$A$9,0))</f>
        <v>Analytics Plus</v>
      </c>
      <c r="G295" s="4" t="str">
        <f aca="false">INDEX(Products!$C$2:$C$9,MATCH(E295,Products!$A$2:$A$9,0))</f>
        <v>Software</v>
      </c>
      <c r="H295" s="5" t="n">
        <v>2</v>
      </c>
      <c r="I295" s="6" t="n">
        <f aca="false">INDEX(Products!$D$2:$D$9,MATCH(E295,Products!$A$2:$A$9,0))</f>
        <v>290</v>
      </c>
      <c r="J295" s="7" t="n">
        <v>0.2</v>
      </c>
      <c r="K295" s="8" t="n">
        <f aca="false">H295*I295*(1-J295)</f>
        <v>464</v>
      </c>
      <c r="L295" s="6" t="n">
        <f aca="false">H295*INDEX(Products!$E$2:$E$9,MATCH(E295,Products!$A$2:$A$9,0))</f>
        <v>82</v>
      </c>
      <c r="M295" s="8" t="n">
        <f aca="false">K295-L295</f>
        <v>382</v>
      </c>
      <c r="N295" s="2" t="s">
        <v>19</v>
      </c>
      <c r="O295" s="2" t="s">
        <v>36</v>
      </c>
    </row>
    <row r="296" customFormat="false" ht="15" hidden="false" customHeight="false" outlineLevel="0" collapsed="false">
      <c r="A296" s="2" t="s">
        <v>350</v>
      </c>
      <c r="B296" s="3" t="n">
        <v>45778</v>
      </c>
      <c r="C296" s="2" t="s">
        <v>41</v>
      </c>
      <c r="D296" s="2" t="s">
        <v>42</v>
      </c>
      <c r="E296" s="2" t="s">
        <v>57</v>
      </c>
      <c r="F296" s="4" t="str">
        <f aca="false">INDEX(Products!$B$2:$B$9,MATCH(E296,Products!$A$2:$A$9,0))</f>
        <v>Edge Gateway</v>
      </c>
      <c r="G296" s="4" t="str">
        <f aca="false">INDEX(Products!$C$2:$C$9,MATCH(E296,Products!$A$2:$A$9,0))</f>
        <v>Hardware</v>
      </c>
      <c r="H296" s="5" t="n">
        <v>2</v>
      </c>
      <c r="I296" s="6" t="n">
        <f aca="false">INDEX(Products!$D$2:$D$9,MATCH(E296,Products!$A$2:$A$9,0))</f>
        <v>899</v>
      </c>
      <c r="J296" s="7" t="n">
        <v>0.25</v>
      </c>
      <c r="K296" s="8" t="n">
        <f aca="false">H296*I296*(1-J296)</f>
        <v>1348.5</v>
      </c>
      <c r="L296" s="6" t="n">
        <f aca="false">H296*INDEX(Products!$E$2:$E$9,MATCH(E296,Products!$A$2:$A$9,0))</f>
        <v>1224</v>
      </c>
      <c r="M296" s="8" t="n">
        <f aca="false">K296-L296</f>
        <v>124.5</v>
      </c>
      <c r="N296" s="2" t="s">
        <v>19</v>
      </c>
      <c r="O296" s="2" t="s">
        <v>43</v>
      </c>
    </row>
    <row r="297" customFormat="false" ht="15" hidden="false" customHeight="false" outlineLevel="0" collapsed="false">
      <c r="A297" s="2" t="s">
        <v>351</v>
      </c>
      <c r="B297" s="3" t="n">
        <v>45778</v>
      </c>
      <c r="C297" s="2" t="s">
        <v>47</v>
      </c>
      <c r="D297" s="2" t="s">
        <v>157</v>
      </c>
      <c r="E297" s="2" t="s">
        <v>18</v>
      </c>
      <c r="F297" s="4" t="str">
        <f aca="false">INDEX(Products!$B$2:$B$9,MATCH(E297,Products!$A$2:$A$9,0))</f>
        <v>Sensor Hub Pro</v>
      </c>
      <c r="G297" s="4" t="str">
        <f aca="false">INDEX(Products!$C$2:$C$9,MATCH(E297,Products!$A$2:$A$9,0))</f>
        <v>Hardware</v>
      </c>
      <c r="H297" s="5" t="n">
        <v>12</v>
      </c>
      <c r="I297" s="6" t="n">
        <f aca="false">INDEX(Products!$D$2:$D$9,MATCH(E297,Products!$A$2:$A$9,0))</f>
        <v>349</v>
      </c>
      <c r="J297" s="7" t="n">
        <v>0.05</v>
      </c>
      <c r="K297" s="8" t="n">
        <f aca="false">H297*I297*(1-J297)</f>
        <v>3978.6</v>
      </c>
      <c r="L297" s="6" t="n">
        <f aca="false">H297*INDEX(Products!$E$2:$E$9,MATCH(E297,Products!$A$2:$A$9,0))</f>
        <v>2412</v>
      </c>
      <c r="M297" s="8" t="n">
        <f aca="false">K297-L297</f>
        <v>1566.6</v>
      </c>
      <c r="N297" s="2" t="s">
        <v>28</v>
      </c>
      <c r="O297" s="2" t="s">
        <v>72</v>
      </c>
    </row>
    <row r="298" customFormat="false" ht="15" hidden="false" customHeight="false" outlineLevel="0" collapsed="false">
      <c r="A298" s="2" t="s">
        <v>352</v>
      </c>
      <c r="B298" s="3" t="n">
        <v>45778</v>
      </c>
      <c r="C298" s="2" t="s">
        <v>47</v>
      </c>
      <c r="D298" s="2" t="s">
        <v>157</v>
      </c>
      <c r="E298" s="2" t="s">
        <v>23</v>
      </c>
      <c r="F298" s="4" t="str">
        <f aca="false">INDEX(Products!$B$2:$B$9,MATCH(E298,Products!$A$2:$A$9,0))</f>
        <v>Sensor Hub S</v>
      </c>
      <c r="G298" s="4" t="str">
        <f aca="false">INDEX(Products!$C$2:$C$9,MATCH(E298,Products!$A$2:$A$9,0))</f>
        <v>Hardware</v>
      </c>
      <c r="H298" s="5" t="n">
        <v>20</v>
      </c>
      <c r="I298" s="6" t="n">
        <f aca="false">INDEX(Products!$D$2:$D$9,MATCH(E298,Products!$A$2:$A$9,0))</f>
        <v>189</v>
      </c>
      <c r="J298" s="7" t="n">
        <v>0.15</v>
      </c>
      <c r="K298" s="8" t="n">
        <f aca="false">H298*I298*(1-J298)</f>
        <v>3213</v>
      </c>
      <c r="L298" s="6" t="n">
        <f aca="false">H298*INDEX(Products!$E$2:$E$9,MATCH(E298,Products!$A$2:$A$9,0))</f>
        <v>1960</v>
      </c>
      <c r="M298" s="8" t="n">
        <f aca="false">K298-L298</f>
        <v>1253</v>
      </c>
      <c r="N298" s="2" t="s">
        <v>19</v>
      </c>
      <c r="O298" s="2" t="s">
        <v>50</v>
      </c>
    </row>
    <row r="299" customFormat="false" ht="15" hidden="false" customHeight="false" outlineLevel="0" collapsed="false">
      <c r="A299" s="2" t="s">
        <v>353</v>
      </c>
      <c r="B299" s="3" t="n">
        <v>45779</v>
      </c>
      <c r="C299" s="2" t="s">
        <v>16</v>
      </c>
      <c r="D299" s="2" t="s">
        <v>25</v>
      </c>
      <c r="E299" s="2" t="s">
        <v>49</v>
      </c>
      <c r="F299" s="4" t="str">
        <f aca="false">INDEX(Products!$B$2:$B$9,MATCH(E299,Products!$A$2:$A$9,0))</f>
        <v>Mounting Kit</v>
      </c>
      <c r="G299" s="4" t="str">
        <f aca="false">INDEX(Products!$C$2:$C$9,MATCH(E299,Products!$A$2:$A$9,0))</f>
        <v>Accessories</v>
      </c>
      <c r="H299" s="5" t="n">
        <v>2</v>
      </c>
      <c r="I299" s="6" t="n">
        <f aca="false">INDEX(Products!$D$2:$D$9,MATCH(E299,Products!$A$2:$A$9,0))</f>
        <v>39</v>
      </c>
      <c r="J299" s="7" t="n">
        <v>0.15</v>
      </c>
      <c r="K299" s="8" t="n">
        <f aca="false">H299*I299*(1-J299)</f>
        <v>66.3</v>
      </c>
      <c r="L299" s="6" t="n">
        <f aca="false">H299*INDEX(Products!$E$2:$E$9,MATCH(E299,Products!$A$2:$A$9,0))</f>
        <v>63</v>
      </c>
      <c r="M299" s="8" t="n">
        <f aca="false">K299-L299</f>
        <v>3.3</v>
      </c>
      <c r="N299" s="2" t="s">
        <v>19</v>
      </c>
      <c r="O299" s="2" t="s">
        <v>36</v>
      </c>
    </row>
    <row r="300" customFormat="false" ht="15" hidden="false" customHeight="false" outlineLevel="0" collapsed="false">
      <c r="A300" s="2" t="s">
        <v>354</v>
      </c>
      <c r="B300" s="3" t="n">
        <v>45779</v>
      </c>
      <c r="C300" s="2" t="s">
        <v>59</v>
      </c>
      <c r="D300" s="2" t="s">
        <v>91</v>
      </c>
      <c r="E300" s="2" t="s">
        <v>49</v>
      </c>
      <c r="F300" s="4" t="str">
        <f aca="false">INDEX(Products!$B$2:$B$9,MATCH(E300,Products!$A$2:$A$9,0))</f>
        <v>Mounting Kit</v>
      </c>
      <c r="G300" s="4" t="str">
        <f aca="false">INDEX(Products!$C$2:$C$9,MATCH(E300,Products!$A$2:$A$9,0))</f>
        <v>Accessories</v>
      </c>
      <c r="H300" s="5" t="n">
        <v>20</v>
      </c>
      <c r="I300" s="6" t="n">
        <f aca="false">INDEX(Products!$D$2:$D$9,MATCH(E300,Products!$A$2:$A$9,0))</f>
        <v>39</v>
      </c>
      <c r="J300" s="7" t="n">
        <v>0.05</v>
      </c>
      <c r="K300" s="8" t="n">
        <f aca="false">H300*I300*(1-J300)</f>
        <v>741</v>
      </c>
      <c r="L300" s="6" t="n">
        <f aca="false">H300*INDEX(Products!$E$2:$E$9,MATCH(E300,Products!$A$2:$A$9,0))</f>
        <v>630</v>
      </c>
      <c r="M300" s="8" t="n">
        <f aca="false">K300-L300</f>
        <v>111</v>
      </c>
      <c r="N300" s="2" t="s">
        <v>28</v>
      </c>
      <c r="O300" s="2" t="s">
        <v>62</v>
      </c>
    </row>
    <row r="301" customFormat="false" ht="15" hidden="false" customHeight="false" outlineLevel="0" collapsed="false">
      <c r="A301" s="2" t="s">
        <v>355</v>
      </c>
      <c r="B301" s="3" t="n">
        <v>45779</v>
      </c>
      <c r="C301" s="2" t="s">
        <v>47</v>
      </c>
      <c r="D301" s="2" t="s">
        <v>48</v>
      </c>
      <c r="E301" s="2" t="s">
        <v>18</v>
      </c>
      <c r="F301" s="4" t="str">
        <f aca="false">INDEX(Products!$B$2:$B$9,MATCH(E301,Products!$A$2:$A$9,0))</f>
        <v>Sensor Hub Pro</v>
      </c>
      <c r="G301" s="4" t="str">
        <f aca="false">INDEX(Products!$C$2:$C$9,MATCH(E301,Products!$A$2:$A$9,0))</f>
        <v>Hardware</v>
      </c>
      <c r="H301" s="5" t="n">
        <v>2</v>
      </c>
      <c r="I301" s="6" t="n">
        <f aca="false">INDEX(Products!$D$2:$D$9,MATCH(E301,Products!$A$2:$A$9,0))</f>
        <v>349</v>
      </c>
      <c r="J301" s="7" t="n">
        <v>0.15</v>
      </c>
      <c r="K301" s="8" t="n">
        <f aca="false">H301*I301*(1-J301)</f>
        <v>593.3</v>
      </c>
      <c r="L301" s="6" t="n">
        <f aca="false">H301*INDEX(Products!$E$2:$E$9,MATCH(E301,Products!$A$2:$A$9,0))</f>
        <v>402</v>
      </c>
      <c r="M301" s="8" t="n">
        <f aca="false">K301-L301</f>
        <v>191.3</v>
      </c>
      <c r="N301" s="2" t="s">
        <v>19</v>
      </c>
      <c r="O301" s="2" t="s">
        <v>72</v>
      </c>
    </row>
    <row r="302" customFormat="false" ht="15" hidden="false" customHeight="false" outlineLevel="0" collapsed="false">
      <c r="A302" s="2" t="s">
        <v>356</v>
      </c>
      <c r="B302" s="3" t="n">
        <v>45782</v>
      </c>
      <c r="C302" s="2" t="s">
        <v>47</v>
      </c>
      <c r="D302" s="2" t="s">
        <v>55</v>
      </c>
      <c r="E302" s="2" t="s">
        <v>23</v>
      </c>
      <c r="F302" s="4" t="str">
        <f aca="false">INDEX(Products!$B$2:$B$9,MATCH(E302,Products!$A$2:$A$9,0))</f>
        <v>Sensor Hub S</v>
      </c>
      <c r="G302" s="4" t="str">
        <f aca="false">INDEX(Products!$C$2:$C$9,MATCH(E302,Products!$A$2:$A$9,0))</f>
        <v>Hardware</v>
      </c>
      <c r="H302" s="5" t="n">
        <v>2</v>
      </c>
      <c r="I302" s="6" t="n">
        <f aca="false">INDEX(Products!$D$2:$D$9,MATCH(E302,Products!$A$2:$A$9,0))</f>
        <v>189</v>
      </c>
      <c r="J302" s="7" t="n">
        <v>0</v>
      </c>
      <c r="K302" s="8" t="n">
        <f aca="false">H302*I302*(1-J302)</f>
        <v>378</v>
      </c>
      <c r="L302" s="6" t="n">
        <f aca="false">H302*INDEX(Products!$E$2:$E$9,MATCH(E302,Products!$A$2:$A$9,0))</f>
        <v>196</v>
      </c>
      <c r="M302" s="8" t="n">
        <f aca="false">K302-L302</f>
        <v>182</v>
      </c>
      <c r="N302" s="2" t="s">
        <v>28</v>
      </c>
      <c r="O302" s="2" t="s">
        <v>50</v>
      </c>
    </row>
    <row r="303" customFormat="false" ht="15" hidden="false" customHeight="false" outlineLevel="0" collapsed="false">
      <c r="A303" s="2" t="s">
        <v>357</v>
      </c>
      <c r="B303" s="3" t="n">
        <v>45783</v>
      </c>
      <c r="C303" s="2" t="s">
        <v>30</v>
      </c>
      <c r="D303" s="2" t="s">
        <v>128</v>
      </c>
      <c r="E303" s="2" t="s">
        <v>23</v>
      </c>
      <c r="F303" s="4" t="str">
        <f aca="false">INDEX(Products!$B$2:$B$9,MATCH(E303,Products!$A$2:$A$9,0))</f>
        <v>Sensor Hub S</v>
      </c>
      <c r="G303" s="4" t="str">
        <f aca="false">INDEX(Products!$C$2:$C$9,MATCH(E303,Products!$A$2:$A$9,0))</f>
        <v>Hardware</v>
      </c>
      <c r="H303" s="5" t="n">
        <v>2</v>
      </c>
      <c r="I303" s="6" t="n">
        <f aca="false">INDEX(Products!$D$2:$D$9,MATCH(E303,Products!$A$2:$A$9,0))</f>
        <v>189</v>
      </c>
      <c r="J303" s="7" t="n">
        <v>0.05</v>
      </c>
      <c r="K303" s="8" t="n">
        <f aca="false">H303*I303*(1-J303)</f>
        <v>359.1</v>
      </c>
      <c r="L303" s="6" t="n">
        <f aca="false">H303*INDEX(Products!$E$2:$E$9,MATCH(E303,Products!$A$2:$A$9,0))</f>
        <v>196</v>
      </c>
      <c r="M303" s="8" t="n">
        <f aca="false">K303-L303</f>
        <v>163.1</v>
      </c>
      <c r="N303" s="2" t="s">
        <v>28</v>
      </c>
      <c r="O303" s="2" t="s">
        <v>64</v>
      </c>
    </row>
    <row r="304" customFormat="false" ht="15" hidden="false" customHeight="false" outlineLevel="0" collapsed="false">
      <c r="A304" s="2" t="s">
        <v>358</v>
      </c>
      <c r="B304" s="3" t="n">
        <v>45783</v>
      </c>
      <c r="C304" s="2" t="s">
        <v>30</v>
      </c>
      <c r="D304" s="2" t="s">
        <v>31</v>
      </c>
      <c r="E304" s="2" t="s">
        <v>23</v>
      </c>
      <c r="F304" s="4" t="str">
        <f aca="false">INDEX(Products!$B$2:$B$9,MATCH(E304,Products!$A$2:$A$9,0))</f>
        <v>Sensor Hub S</v>
      </c>
      <c r="G304" s="4" t="str">
        <f aca="false">INDEX(Products!$C$2:$C$9,MATCH(E304,Products!$A$2:$A$9,0))</f>
        <v>Hardware</v>
      </c>
      <c r="H304" s="5" t="n">
        <v>12</v>
      </c>
      <c r="I304" s="6" t="n">
        <f aca="false">INDEX(Products!$D$2:$D$9,MATCH(E304,Products!$A$2:$A$9,0))</f>
        <v>189</v>
      </c>
      <c r="J304" s="7" t="n">
        <v>0.15</v>
      </c>
      <c r="K304" s="8" t="n">
        <f aca="false">H304*I304*(1-J304)</f>
        <v>1927.8</v>
      </c>
      <c r="L304" s="6" t="n">
        <f aca="false">H304*INDEX(Products!$E$2:$E$9,MATCH(E304,Products!$A$2:$A$9,0))</f>
        <v>1176</v>
      </c>
      <c r="M304" s="8" t="n">
        <f aca="false">K304-L304</f>
        <v>751.8</v>
      </c>
      <c r="N304" s="2" t="s">
        <v>19</v>
      </c>
      <c r="O304" s="2" t="s">
        <v>33</v>
      </c>
    </row>
    <row r="305" customFormat="false" ht="15" hidden="false" customHeight="false" outlineLevel="0" collapsed="false">
      <c r="A305" s="2" t="s">
        <v>359</v>
      </c>
      <c r="B305" s="3" t="n">
        <v>45784</v>
      </c>
      <c r="C305" s="2" t="s">
        <v>47</v>
      </c>
      <c r="D305" s="2" t="s">
        <v>55</v>
      </c>
      <c r="E305" s="2" t="s">
        <v>49</v>
      </c>
      <c r="F305" s="4" t="str">
        <f aca="false">INDEX(Products!$B$2:$B$9,MATCH(E305,Products!$A$2:$A$9,0))</f>
        <v>Mounting Kit</v>
      </c>
      <c r="G305" s="4" t="str">
        <f aca="false">INDEX(Products!$C$2:$C$9,MATCH(E305,Products!$A$2:$A$9,0))</f>
        <v>Accessories</v>
      </c>
      <c r="H305" s="5" t="n">
        <v>2</v>
      </c>
      <c r="I305" s="6" t="n">
        <f aca="false">INDEX(Products!$D$2:$D$9,MATCH(E305,Products!$A$2:$A$9,0))</f>
        <v>39</v>
      </c>
      <c r="J305" s="7" t="n">
        <v>0.1</v>
      </c>
      <c r="K305" s="8" t="n">
        <f aca="false">H305*I305*(1-J305)</f>
        <v>70.2</v>
      </c>
      <c r="L305" s="6" t="n">
        <f aca="false">H305*INDEX(Products!$E$2:$E$9,MATCH(E305,Products!$A$2:$A$9,0))</f>
        <v>63</v>
      </c>
      <c r="M305" s="8" t="n">
        <f aca="false">K305-L305</f>
        <v>7.2</v>
      </c>
      <c r="N305" s="2" t="s">
        <v>38</v>
      </c>
      <c r="O305" s="2" t="s">
        <v>50</v>
      </c>
    </row>
    <row r="306" customFormat="false" ht="15" hidden="false" customHeight="false" outlineLevel="0" collapsed="false">
      <c r="A306" s="2" t="s">
        <v>360</v>
      </c>
      <c r="B306" s="3" t="n">
        <v>45784</v>
      </c>
      <c r="C306" s="2" t="s">
        <v>30</v>
      </c>
      <c r="D306" s="2" t="s">
        <v>128</v>
      </c>
      <c r="E306" s="2" t="s">
        <v>32</v>
      </c>
      <c r="F306" s="4" t="str">
        <f aca="false">INDEX(Products!$B$2:$B$9,MATCH(E306,Products!$A$2:$A$9,0))</f>
        <v>Analytics Plus</v>
      </c>
      <c r="G306" s="4" t="str">
        <f aca="false">INDEX(Products!$C$2:$C$9,MATCH(E306,Products!$A$2:$A$9,0))</f>
        <v>Software</v>
      </c>
      <c r="H306" s="5" t="n">
        <v>5</v>
      </c>
      <c r="I306" s="6" t="n">
        <f aca="false">INDEX(Products!$D$2:$D$9,MATCH(E306,Products!$A$2:$A$9,0))</f>
        <v>290</v>
      </c>
      <c r="J306" s="7" t="n">
        <v>0</v>
      </c>
      <c r="K306" s="8" t="n">
        <f aca="false">H306*I306*(1-J306)</f>
        <v>1450</v>
      </c>
      <c r="L306" s="6" t="n">
        <f aca="false">H306*INDEX(Products!$E$2:$E$9,MATCH(E306,Products!$A$2:$A$9,0))</f>
        <v>205</v>
      </c>
      <c r="M306" s="8" t="n">
        <f aca="false">K306-L306</f>
        <v>1245</v>
      </c>
      <c r="N306" s="2" t="s">
        <v>28</v>
      </c>
      <c r="O306" s="2" t="s">
        <v>33</v>
      </c>
    </row>
    <row r="307" customFormat="false" ht="15" hidden="false" customHeight="false" outlineLevel="0" collapsed="false">
      <c r="A307" s="2" t="s">
        <v>361</v>
      </c>
      <c r="B307" s="3" t="n">
        <v>45784</v>
      </c>
      <c r="C307" s="2" t="s">
        <v>41</v>
      </c>
      <c r="D307" s="2" t="s">
        <v>66</v>
      </c>
      <c r="E307" s="2" t="s">
        <v>57</v>
      </c>
      <c r="F307" s="4" t="str">
        <f aca="false">INDEX(Products!$B$2:$B$9,MATCH(E307,Products!$A$2:$A$9,0))</f>
        <v>Edge Gateway</v>
      </c>
      <c r="G307" s="4" t="str">
        <f aca="false">INDEX(Products!$C$2:$C$9,MATCH(E307,Products!$A$2:$A$9,0))</f>
        <v>Hardware</v>
      </c>
      <c r="H307" s="5" t="n">
        <v>10</v>
      </c>
      <c r="I307" s="6" t="n">
        <f aca="false">INDEX(Products!$D$2:$D$9,MATCH(E307,Products!$A$2:$A$9,0))</f>
        <v>899</v>
      </c>
      <c r="J307" s="7" t="n">
        <v>0.1</v>
      </c>
      <c r="K307" s="8" t="n">
        <f aca="false">H307*I307*(1-J307)</f>
        <v>8091</v>
      </c>
      <c r="L307" s="6" t="n">
        <f aca="false">H307*INDEX(Products!$E$2:$E$9,MATCH(E307,Products!$A$2:$A$9,0))</f>
        <v>6120</v>
      </c>
      <c r="M307" s="8" t="n">
        <f aca="false">K307-L307</f>
        <v>1971</v>
      </c>
      <c r="N307" s="2" t="s">
        <v>19</v>
      </c>
      <c r="O307" s="2" t="s">
        <v>52</v>
      </c>
    </row>
    <row r="308" customFormat="false" ht="15" hidden="false" customHeight="false" outlineLevel="0" collapsed="false">
      <c r="A308" s="2" t="s">
        <v>362</v>
      </c>
      <c r="B308" s="3" t="n">
        <v>45784</v>
      </c>
      <c r="C308" s="2" t="s">
        <v>47</v>
      </c>
      <c r="D308" s="2" t="s">
        <v>71</v>
      </c>
      <c r="E308" s="2" t="s">
        <v>26</v>
      </c>
      <c r="F308" s="4" t="str">
        <f aca="false">INDEX(Products!$B$2:$B$9,MATCH(E308,Products!$A$2:$A$9,0))</f>
        <v>Analytics Basic</v>
      </c>
      <c r="G308" s="4" t="str">
        <f aca="false">INDEX(Products!$C$2:$C$9,MATCH(E308,Products!$A$2:$A$9,0))</f>
        <v>Software</v>
      </c>
      <c r="H308" s="5" t="n">
        <v>1</v>
      </c>
      <c r="I308" s="6" t="n">
        <f aca="false">INDEX(Products!$D$2:$D$9,MATCH(E308,Products!$A$2:$A$9,0))</f>
        <v>120</v>
      </c>
      <c r="J308" s="7" t="n">
        <v>0.2</v>
      </c>
      <c r="K308" s="8" t="n">
        <f aca="false">H308*I308*(1-J308)</f>
        <v>96</v>
      </c>
      <c r="L308" s="6" t="n">
        <f aca="false">H308*INDEX(Products!$E$2:$E$9,MATCH(E308,Products!$A$2:$A$9,0))</f>
        <v>18</v>
      </c>
      <c r="M308" s="8" t="n">
        <f aca="false">K308-L308</f>
        <v>78</v>
      </c>
      <c r="N308" s="2" t="s">
        <v>19</v>
      </c>
      <c r="O308" s="2" t="s">
        <v>50</v>
      </c>
    </row>
    <row r="309" customFormat="false" ht="15" hidden="false" customHeight="false" outlineLevel="0" collapsed="false">
      <c r="A309" s="2" t="s">
        <v>363</v>
      </c>
      <c r="B309" s="3" t="n">
        <v>45785</v>
      </c>
      <c r="C309" s="2" t="s">
        <v>30</v>
      </c>
      <c r="D309" s="2" t="s">
        <v>31</v>
      </c>
      <c r="E309" s="2" t="s">
        <v>57</v>
      </c>
      <c r="F309" s="4" t="str">
        <f aca="false">INDEX(Products!$B$2:$B$9,MATCH(E309,Products!$A$2:$A$9,0))</f>
        <v>Edge Gateway</v>
      </c>
      <c r="G309" s="4" t="str">
        <f aca="false">INDEX(Products!$C$2:$C$9,MATCH(E309,Products!$A$2:$A$9,0))</f>
        <v>Hardware</v>
      </c>
      <c r="H309" s="5" t="n">
        <v>5</v>
      </c>
      <c r="I309" s="6" t="n">
        <f aca="false">INDEX(Products!$D$2:$D$9,MATCH(E309,Products!$A$2:$A$9,0))</f>
        <v>899</v>
      </c>
      <c r="J309" s="7" t="n">
        <v>0.25</v>
      </c>
      <c r="K309" s="8" t="n">
        <f aca="false">H309*I309*(1-J309)</f>
        <v>3371.25</v>
      </c>
      <c r="L309" s="6" t="n">
        <f aca="false">H309*INDEX(Products!$E$2:$E$9,MATCH(E309,Products!$A$2:$A$9,0))</f>
        <v>3060</v>
      </c>
      <c r="M309" s="8" t="n">
        <f aca="false">K309-L309</f>
        <v>311.25</v>
      </c>
      <c r="N309" s="2" t="s">
        <v>28</v>
      </c>
      <c r="O309" s="2" t="s">
        <v>64</v>
      </c>
    </row>
    <row r="310" customFormat="false" ht="15" hidden="false" customHeight="false" outlineLevel="0" collapsed="false">
      <c r="A310" s="2" t="s">
        <v>364</v>
      </c>
      <c r="B310" s="3" t="n">
        <v>45785</v>
      </c>
      <c r="C310" s="2" t="s">
        <v>16</v>
      </c>
      <c r="D310" s="2" t="s">
        <v>35</v>
      </c>
      <c r="E310" s="2" t="s">
        <v>26</v>
      </c>
      <c r="F310" s="4" t="str">
        <f aca="false">INDEX(Products!$B$2:$B$9,MATCH(E310,Products!$A$2:$A$9,0))</f>
        <v>Analytics Basic</v>
      </c>
      <c r="G310" s="4" t="str">
        <f aca="false">INDEX(Products!$C$2:$C$9,MATCH(E310,Products!$A$2:$A$9,0))</f>
        <v>Software</v>
      </c>
      <c r="H310" s="5" t="n">
        <v>3</v>
      </c>
      <c r="I310" s="6" t="n">
        <f aca="false">INDEX(Products!$D$2:$D$9,MATCH(E310,Products!$A$2:$A$9,0))</f>
        <v>120</v>
      </c>
      <c r="J310" s="7" t="n">
        <v>0.15</v>
      </c>
      <c r="K310" s="8" t="n">
        <f aca="false">H310*I310*(1-J310)</f>
        <v>306</v>
      </c>
      <c r="L310" s="6" t="n">
        <f aca="false">H310*INDEX(Products!$E$2:$E$9,MATCH(E310,Products!$A$2:$A$9,0))</f>
        <v>54</v>
      </c>
      <c r="M310" s="8" t="n">
        <f aca="false">K310-L310</f>
        <v>252</v>
      </c>
      <c r="N310" s="2" t="s">
        <v>19</v>
      </c>
      <c r="O310" s="2" t="s">
        <v>36</v>
      </c>
    </row>
    <row r="311" customFormat="false" ht="15" hidden="false" customHeight="false" outlineLevel="0" collapsed="false">
      <c r="A311" s="2" t="s">
        <v>365</v>
      </c>
      <c r="B311" s="3" t="n">
        <v>45785</v>
      </c>
      <c r="C311" s="2" t="s">
        <v>16</v>
      </c>
      <c r="D311" s="2" t="s">
        <v>35</v>
      </c>
      <c r="E311" s="2" t="s">
        <v>18</v>
      </c>
      <c r="F311" s="4" t="str">
        <f aca="false">INDEX(Products!$B$2:$B$9,MATCH(E311,Products!$A$2:$A$9,0))</f>
        <v>Sensor Hub Pro</v>
      </c>
      <c r="G311" s="4" t="str">
        <f aca="false">INDEX(Products!$C$2:$C$9,MATCH(E311,Products!$A$2:$A$9,0))</f>
        <v>Hardware</v>
      </c>
      <c r="H311" s="5" t="n">
        <v>12</v>
      </c>
      <c r="I311" s="6" t="n">
        <f aca="false">INDEX(Products!$D$2:$D$9,MATCH(E311,Products!$A$2:$A$9,0))</f>
        <v>349</v>
      </c>
      <c r="J311" s="7" t="n">
        <v>0.15</v>
      </c>
      <c r="K311" s="8" t="n">
        <f aca="false">H311*I311*(1-J311)</f>
        <v>3559.8</v>
      </c>
      <c r="L311" s="6" t="n">
        <f aca="false">H311*INDEX(Products!$E$2:$E$9,MATCH(E311,Products!$A$2:$A$9,0))</f>
        <v>2412</v>
      </c>
      <c r="M311" s="8" t="n">
        <f aca="false">K311-L311</f>
        <v>1147.8</v>
      </c>
      <c r="N311" s="2" t="s">
        <v>19</v>
      </c>
      <c r="O311" s="2" t="s">
        <v>20</v>
      </c>
    </row>
    <row r="312" customFormat="false" ht="15" hidden="false" customHeight="false" outlineLevel="0" collapsed="false">
      <c r="A312" s="2" t="s">
        <v>366</v>
      </c>
      <c r="B312" s="3" t="n">
        <v>45785</v>
      </c>
      <c r="C312" s="2" t="s">
        <v>41</v>
      </c>
      <c r="D312" s="2" t="s">
        <v>66</v>
      </c>
      <c r="E312" s="2" t="s">
        <v>26</v>
      </c>
      <c r="F312" s="4" t="str">
        <f aca="false">INDEX(Products!$B$2:$B$9,MATCH(E312,Products!$A$2:$A$9,0))</f>
        <v>Analytics Basic</v>
      </c>
      <c r="G312" s="4" t="str">
        <f aca="false">INDEX(Products!$C$2:$C$9,MATCH(E312,Products!$A$2:$A$9,0))</f>
        <v>Software</v>
      </c>
      <c r="H312" s="5" t="n">
        <v>5</v>
      </c>
      <c r="I312" s="6" t="n">
        <f aca="false">INDEX(Products!$D$2:$D$9,MATCH(E312,Products!$A$2:$A$9,0))</f>
        <v>120</v>
      </c>
      <c r="J312" s="7" t="n">
        <v>0.15</v>
      </c>
      <c r="K312" s="8" t="n">
        <f aca="false">H312*I312*(1-J312)</f>
        <v>510</v>
      </c>
      <c r="L312" s="6" t="n">
        <f aca="false">H312*INDEX(Products!$E$2:$E$9,MATCH(E312,Products!$A$2:$A$9,0))</f>
        <v>90</v>
      </c>
      <c r="M312" s="8" t="n">
        <f aca="false">K312-L312</f>
        <v>420</v>
      </c>
      <c r="N312" s="2" t="s">
        <v>19</v>
      </c>
      <c r="O312" s="2" t="s">
        <v>43</v>
      </c>
    </row>
    <row r="313" customFormat="false" ht="15" hidden="false" customHeight="false" outlineLevel="0" collapsed="false">
      <c r="A313" s="2" t="s">
        <v>367</v>
      </c>
      <c r="B313" s="3" t="n">
        <v>45785</v>
      </c>
      <c r="C313" s="2" t="s">
        <v>41</v>
      </c>
      <c r="D313" s="2" t="s">
        <v>42</v>
      </c>
      <c r="E313" s="2" t="s">
        <v>57</v>
      </c>
      <c r="F313" s="4" t="str">
        <f aca="false">INDEX(Products!$B$2:$B$9,MATCH(E313,Products!$A$2:$A$9,0))</f>
        <v>Edge Gateway</v>
      </c>
      <c r="G313" s="4" t="str">
        <f aca="false">INDEX(Products!$C$2:$C$9,MATCH(E313,Products!$A$2:$A$9,0))</f>
        <v>Hardware</v>
      </c>
      <c r="H313" s="5" t="n">
        <v>2</v>
      </c>
      <c r="I313" s="6" t="n">
        <f aca="false">INDEX(Products!$D$2:$D$9,MATCH(E313,Products!$A$2:$A$9,0))</f>
        <v>899</v>
      </c>
      <c r="J313" s="7" t="n">
        <v>0.15</v>
      </c>
      <c r="K313" s="8" t="n">
        <f aca="false">H313*I313*(1-J313)</f>
        <v>1528.3</v>
      </c>
      <c r="L313" s="6" t="n">
        <f aca="false">H313*INDEX(Products!$E$2:$E$9,MATCH(E313,Products!$A$2:$A$9,0))</f>
        <v>1224</v>
      </c>
      <c r="M313" s="8" t="n">
        <f aca="false">K313-L313</f>
        <v>304.3</v>
      </c>
      <c r="N313" s="2" t="s">
        <v>19</v>
      </c>
      <c r="O313" s="2" t="s">
        <v>43</v>
      </c>
    </row>
    <row r="314" customFormat="false" ht="15" hidden="false" customHeight="false" outlineLevel="0" collapsed="false">
      <c r="A314" s="2" t="s">
        <v>368</v>
      </c>
      <c r="B314" s="3" t="n">
        <v>45785</v>
      </c>
      <c r="C314" s="2" t="s">
        <v>47</v>
      </c>
      <c r="D314" s="2" t="s">
        <v>55</v>
      </c>
      <c r="E314" s="2" t="s">
        <v>68</v>
      </c>
      <c r="F314" s="4" t="str">
        <f aca="false">INDEX(Products!$B$2:$B$9,MATCH(E314,Products!$A$2:$A$9,0))</f>
        <v>Premium Support</v>
      </c>
      <c r="G314" s="4" t="str">
        <f aca="false">INDEX(Products!$C$2:$C$9,MATCH(E314,Products!$A$2:$A$9,0))</f>
        <v>Services</v>
      </c>
      <c r="H314" s="5" t="n">
        <v>1</v>
      </c>
      <c r="I314" s="6" t="n">
        <f aca="false">INDEX(Products!$D$2:$D$9,MATCH(E314,Products!$A$2:$A$9,0))</f>
        <v>600</v>
      </c>
      <c r="J314" s="7" t="n">
        <v>0.1</v>
      </c>
      <c r="K314" s="8" t="n">
        <f aca="false">H314*I314*(1-J314)</f>
        <v>540</v>
      </c>
      <c r="L314" s="6" t="n">
        <f aca="false">H314*INDEX(Products!$E$2:$E$9,MATCH(E314,Products!$A$2:$A$9,0))</f>
        <v>395</v>
      </c>
      <c r="M314" s="8" t="n">
        <f aca="false">K314-L314</f>
        <v>145</v>
      </c>
      <c r="N314" s="2" t="s">
        <v>38</v>
      </c>
      <c r="O314" s="2" t="s">
        <v>72</v>
      </c>
    </row>
    <row r="315" customFormat="false" ht="15" hidden="false" customHeight="false" outlineLevel="0" collapsed="false">
      <c r="A315" s="2" t="s">
        <v>369</v>
      </c>
      <c r="B315" s="3" t="n">
        <v>45786</v>
      </c>
      <c r="C315" s="2" t="s">
        <v>16</v>
      </c>
      <c r="D315" s="2" t="s">
        <v>35</v>
      </c>
      <c r="E315" s="2" t="s">
        <v>32</v>
      </c>
      <c r="F315" s="4" t="str">
        <f aca="false">INDEX(Products!$B$2:$B$9,MATCH(E315,Products!$A$2:$A$9,0))</f>
        <v>Analytics Plus</v>
      </c>
      <c r="G315" s="4" t="str">
        <f aca="false">INDEX(Products!$C$2:$C$9,MATCH(E315,Products!$A$2:$A$9,0))</f>
        <v>Software</v>
      </c>
      <c r="H315" s="5" t="n">
        <v>1</v>
      </c>
      <c r="I315" s="6" t="n">
        <f aca="false">INDEX(Products!$D$2:$D$9,MATCH(E315,Products!$A$2:$A$9,0))</f>
        <v>290</v>
      </c>
      <c r="J315" s="7" t="n">
        <v>0.05</v>
      </c>
      <c r="K315" s="8" t="n">
        <f aca="false">H315*I315*(1-J315)</f>
        <v>275.5</v>
      </c>
      <c r="L315" s="6" t="n">
        <f aca="false">H315*INDEX(Products!$E$2:$E$9,MATCH(E315,Products!$A$2:$A$9,0))</f>
        <v>41</v>
      </c>
      <c r="M315" s="8" t="n">
        <f aca="false">K315-L315</f>
        <v>234.5</v>
      </c>
      <c r="N315" s="2" t="s">
        <v>28</v>
      </c>
      <c r="O315" s="2" t="s">
        <v>36</v>
      </c>
    </row>
    <row r="316" customFormat="false" ht="15" hidden="false" customHeight="false" outlineLevel="0" collapsed="false">
      <c r="A316" s="2" t="s">
        <v>370</v>
      </c>
      <c r="B316" s="3" t="n">
        <v>45786</v>
      </c>
      <c r="C316" s="2" t="s">
        <v>41</v>
      </c>
      <c r="D316" s="2" t="s">
        <v>66</v>
      </c>
      <c r="E316" s="2" t="s">
        <v>32</v>
      </c>
      <c r="F316" s="4" t="str">
        <f aca="false">INDEX(Products!$B$2:$B$9,MATCH(E316,Products!$A$2:$A$9,0))</f>
        <v>Analytics Plus</v>
      </c>
      <c r="G316" s="4" t="str">
        <f aca="false">INDEX(Products!$C$2:$C$9,MATCH(E316,Products!$A$2:$A$9,0))</f>
        <v>Software</v>
      </c>
      <c r="H316" s="5" t="n">
        <v>3</v>
      </c>
      <c r="I316" s="6" t="n">
        <f aca="false">INDEX(Products!$D$2:$D$9,MATCH(E316,Products!$A$2:$A$9,0))</f>
        <v>290</v>
      </c>
      <c r="J316" s="7" t="n">
        <v>0.1</v>
      </c>
      <c r="K316" s="8" t="n">
        <f aca="false">H316*I316*(1-J316)</f>
        <v>783</v>
      </c>
      <c r="L316" s="6" t="n">
        <f aca="false">H316*INDEX(Products!$E$2:$E$9,MATCH(E316,Products!$A$2:$A$9,0))</f>
        <v>123</v>
      </c>
      <c r="M316" s="8" t="n">
        <f aca="false">K316-L316</f>
        <v>660</v>
      </c>
      <c r="N316" s="2" t="s">
        <v>38</v>
      </c>
      <c r="O316" s="2" t="s">
        <v>43</v>
      </c>
    </row>
    <row r="317" customFormat="false" ht="15" hidden="false" customHeight="false" outlineLevel="0" collapsed="false">
      <c r="A317" s="2" t="s">
        <v>371</v>
      </c>
      <c r="B317" s="3" t="n">
        <v>45787</v>
      </c>
      <c r="C317" s="2" t="s">
        <v>47</v>
      </c>
      <c r="D317" s="2" t="s">
        <v>157</v>
      </c>
      <c r="E317" s="2" t="s">
        <v>23</v>
      </c>
      <c r="F317" s="4" t="str">
        <f aca="false">INDEX(Products!$B$2:$B$9,MATCH(E317,Products!$A$2:$A$9,0))</f>
        <v>Sensor Hub S</v>
      </c>
      <c r="G317" s="4" t="str">
        <f aca="false">INDEX(Products!$C$2:$C$9,MATCH(E317,Products!$A$2:$A$9,0))</f>
        <v>Hardware</v>
      </c>
      <c r="H317" s="5" t="n">
        <v>10</v>
      </c>
      <c r="I317" s="6" t="n">
        <f aca="false">INDEX(Products!$D$2:$D$9,MATCH(E317,Products!$A$2:$A$9,0))</f>
        <v>189</v>
      </c>
      <c r="J317" s="7" t="n">
        <v>0.15</v>
      </c>
      <c r="K317" s="8" t="n">
        <f aca="false">H317*I317*(1-J317)</f>
        <v>1606.5</v>
      </c>
      <c r="L317" s="6" t="n">
        <f aca="false">H317*INDEX(Products!$E$2:$E$9,MATCH(E317,Products!$A$2:$A$9,0))</f>
        <v>980</v>
      </c>
      <c r="M317" s="8" t="n">
        <f aca="false">K317-L317</f>
        <v>626.5</v>
      </c>
      <c r="N317" s="2" t="s">
        <v>19</v>
      </c>
      <c r="O317" s="2" t="s">
        <v>72</v>
      </c>
    </row>
    <row r="318" customFormat="false" ht="15" hidden="false" customHeight="false" outlineLevel="0" collapsed="false">
      <c r="A318" s="2" t="s">
        <v>372</v>
      </c>
      <c r="B318" s="3" t="n">
        <v>45789</v>
      </c>
      <c r="C318" s="2" t="s">
        <v>59</v>
      </c>
      <c r="D318" s="2" t="s">
        <v>101</v>
      </c>
      <c r="E318" s="2" t="s">
        <v>23</v>
      </c>
      <c r="F318" s="4" t="str">
        <f aca="false">INDEX(Products!$B$2:$B$9,MATCH(E318,Products!$A$2:$A$9,0))</f>
        <v>Sensor Hub S</v>
      </c>
      <c r="G318" s="4" t="str">
        <f aca="false">INDEX(Products!$C$2:$C$9,MATCH(E318,Products!$A$2:$A$9,0))</f>
        <v>Hardware</v>
      </c>
      <c r="H318" s="5" t="n">
        <v>1</v>
      </c>
      <c r="I318" s="6" t="n">
        <f aca="false">INDEX(Products!$D$2:$D$9,MATCH(E318,Products!$A$2:$A$9,0))</f>
        <v>189</v>
      </c>
      <c r="J318" s="7" t="n">
        <v>0.1</v>
      </c>
      <c r="K318" s="8" t="n">
        <f aca="false">H318*I318*(1-J318)</f>
        <v>170.1</v>
      </c>
      <c r="L318" s="6" t="n">
        <f aca="false">H318*INDEX(Products!$E$2:$E$9,MATCH(E318,Products!$A$2:$A$9,0))</f>
        <v>98</v>
      </c>
      <c r="M318" s="8" t="n">
        <f aca="false">K318-L318</f>
        <v>72.1</v>
      </c>
      <c r="N318" s="2" t="s">
        <v>19</v>
      </c>
      <c r="O318" s="2" t="s">
        <v>62</v>
      </c>
    </row>
    <row r="319" customFormat="false" ht="15" hidden="false" customHeight="false" outlineLevel="0" collapsed="false">
      <c r="A319" s="2" t="s">
        <v>373</v>
      </c>
      <c r="B319" s="3" t="n">
        <v>45789</v>
      </c>
      <c r="C319" s="2" t="s">
        <v>30</v>
      </c>
      <c r="D319" s="2" t="s">
        <v>77</v>
      </c>
      <c r="E319" s="2" t="s">
        <v>18</v>
      </c>
      <c r="F319" s="4" t="str">
        <f aca="false">INDEX(Products!$B$2:$B$9,MATCH(E319,Products!$A$2:$A$9,0))</f>
        <v>Sensor Hub Pro</v>
      </c>
      <c r="G319" s="4" t="str">
        <f aca="false">INDEX(Products!$C$2:$C$9,MATCH(E319,Products!$A$2:$A$9,0))</f>
        <v>Hardware</v>
      </c>
      <c r="H319" s="5" t="n">
        <v>5</v>
      </c>
      <c r="I319" s="6" t="n">
        <f aca="false">INDEX(Products!$D$2:$D$9,MATCH(E319,Products!$A$2:$A$9,0))</f>
        <v>349</v>
      </c>
      <c r="J319" s="7" t="n">
        <v>0.05</v>
      </c>
      <c r="K319" s="8" t="n">
        <f aca="false">H319*I319*(1-J319)</f>
        <v>1657.75</v>
      </c>
      <c r="L319" s="6" t="n">
        <f aca="false">H319*INDEX(Products!$E$2:$E$9,MATCH(E319,Products!$A$2:$A$9,0))</f>
        <v>1005</v>
      </c>
      <c r="M319" s="8" t="n">
        <f aca="false">K319-L319</f>
        <v>652.75</v>
      </c>
      <c r="N319" s="2" t="s">
        <v>28</v>
      </c>
      <c r="O319" s="2" t="s">
        <v>64</v>
      </c>
    </row>
    <row r="320" customFormat="false" ht="15" hidden="false" customHeight="false" outlineLevel="0" collapsed="false">
      <c r="A320" s="2" t="s">
        <v>374</v>
      </c>
      <c r="B320" s="3" t="n">
        <v>45789</v>
      </c>
      <c r="C320" s="2" t="s">
        <v>59</v>
      </c>
      <c r="D320" s="2" t="s">
        <v>60</v>
      </c>
      <c r="E320" s="2" t="s">
        <v>18</v>
      </c>
      <c r="F320" s="4" t="str">
        <f aca="false">INDEX(Products!$B$2:$B$9,MATCH(E320,Products!$A$2:$A$9,0))</f>
        <v>Sensor Hub Pro</v>
      </c>
      <c r="G320" s="4" t="str">
        <f aca="false">INDEX(Products!$C$2:$C$9,MATCH(E320,Products!$A$2:$A$9,0))</f>
        <v>Hardware</v>
      </c>
      <c r="H320" s="5" t="n">
        <v>20</v>
      </c>
      <c r="I320" s="6" t="n">
        <f aca="false">INDEX(Products!$D$2:$D$9,MATCH(E320,Products!$A$2:$A$9,0))</f>
        <v>349</v>
      </c>
      <c r="J320" s="7" t="n">
        <v>0.1</v>
      </c>
      <c r="K320" s="8" t="n">
        <f aca="false">H320*I320*(1-J320)</f>
        <v>6282</v>
      </c>
      <c r="L320" s="6" t="n">
        <f aca="false">H320*INDEX(Products!$E$2:$E$9,MATCH(E320,Products!$A$2:$A$9,0))</f>
        <v>4020</v>
      </c>
      <c r="M320" s="8" t="n">
        <f aca="false">K320-L320</f>
        <v>2262</v>
      </c>
      <c r="N320" s="2" t="s">
        <v>19</v>
      </c>
      <c r="O320" s="2" t="s">
        <v>62</v>
      </c>
    </row>
    <row r="321" customFormat="false" ht="15" hidden="false" customHeight="false" outlineLevel="0" collapsed="false">
      <c r="A321" s="2" t="s">
        <v>375</v>
      </c>
      <c r="B321" s="3" t="n">
        <v>45790</v>
      </c>
      <c r="C321" s="2" t="s">
        <v>47</v>
      </c>
      <c r="D321" s="2" t="s">
        <v>71</v>
      </c>
      <c r="E321" s="2" t="s">
        <v>23</v>
      </c>
      <c r="F321" s="4" t="str">
        <f aca="false">INDEX(Products!$B$2:$B$9,MATCH(E321,Products!$A$2:$A$9,0))</f>
        <v>Sensor Hub S</v>
      </c>
      <c r="G321" s="4" t="str">
        <f aca="false">INDEX(Products!$C$2:$C$9,MATCH(E321,Products!$A$2:$A$9,0))</f>
        <v>Hardware</v>
      </c>
      <c r="H321" s="5" t="n">
        <v>1</v>
      </c>
      <c r="I321" s="6" t="n">
        <f aca="false">INDEX(Products!$D$2:$D$9,MATCH(E321,Products!$A$2:$A$9,0))</f>
        <v>189</v>
      </c>
      <c r="J321" s="7" t="n">
        <v>0.1</v>
      </c>
      <c r="K321" s="8" t="n">
        <f aca="false">H321*I321*(1-J321)</f>
        <v>170.1</v>
      </c>
      <c r="L321" s="6" t="n">
        <f aca="false">H321*INDEX(Products!$E$2:$E$9,MATCH(E321,Products!$A$2:$A$9,0))</f>
        <v>98</v>
      </c>
      <c r="M321" s="8" t="n">
        <f aca="false">K321-L321</f>
        <v>72.1</v>
      </c>
      <c r="N321" s="2" t="s">
        <v>19</v>
      </c>
      <c r="O321" s="2" t="s">
        <v>50</v>
      </c>
    </row>
    <row r="322" customFormat="false" ht="15" hidden="false" customHeight="false" outlineLevel="0" collapsed="false">
      <c r="A322" s="2" t="s">
        <v>376</v>
      </c>
      <c r="B322" s="3" t="n">
        <v>45790</v>
      </c>
      <c r="C322" s="2" t="s">
        <v>41</v>
      </c>
      <c r="D322" s="2" t="s">
        <v>42</v>
      </c>
      <c r="E322" s="2" t="s">
        <v>18</v>
      </c>
      <c r="F322" s="4" t="str">
        <f aca="false">INDEX(Products!$B$2:$B$9,MATCH(E322,Products!$A$2:$A$9,0))</f>
        <v>Sensor Hub Pro</v>
      </c>
      <c r="G322" s="4" t="str">
        <f aca="false">INDEX(Products!$C$2:$C$9,MATCH(E322,Products!$A$2:$A$9,0))</f>
        <v>Hardware</v>
      </c>
      <c r="H322" s="5" t="n">
        <v>1</v>
      </c>
      <c r="I322" s="6" t="n">
        <f aca="false">INDEX(Products!$D$2:$D$9,MATCH(E322,Products!$A$2:$A$9,0))</f>
        <v>349</v>
      </c>
      <c r="J322" s="7" t="n">
        <v>0</v>
      </c>
      <c r="K322" s="8" t="n">
        <f aca="false">H322*I322*(1-J322)</f>
        <v>349</v>
      </c>
      <c r="L322" s="6" t="n">
        <f aca="false">H322*INDEX(Products!$E$2:$E$9,MATCH(E322,Products!$A$2:$A$9,0))</f>
        <v>201</v>
      </c>
      <c r="M322" s="8" t="n">
        <f aca="false">K322-L322</f>
        <v>148</v>
      </c>
      <c r="N322" s="2" t="s">
        <v>38</v>
      </c>
      <c r="O322" s="2" t="s">
        <v>43</v>
      </c>
    </row>
    <row r="323" customFormat="false" ht="15" hidden="false" customHeight="false" outlineLevel="0" collapsed="false">
      <c r="A323" s="2" t="s">
        <v>377</v>
      </c>
      <c r="B323" s="3" t="n">
        <v>45790</v>
      </c>
      <c r="C323" s="2" t="s">
        <v>30</v>
      </c>
      <c r="D323" s="2" t="s">
        <v>31</v>
      </c>
      <c r="E323" s="2" t="s">
        <v>32</v>
      </c>
      <c r="F323" s="4" t="str">
        <f aca="false">INDEX(Products!$B$2:$B$9,MATCH(E323,Products!$A$2:$A$9,0))</f>
        <v>Analytics Plus</v>
      </c>
      <c r="G323" s="4" t="str">
        <f aca="false">INDEX(Products!$C$2:$C$9,MATCH(E323,Products!$A$2:$A$9,0))</f>
        <v>Software</v>
      </c>
      <c r="H323" s="5" t="n">
        <v>3</v>
      </c>
      <c r="I323" s="6" t="n">
        <f aca="false">INDEX(Products!$D$2:$D$9,MATCH(E323,Products!$A$2:$A$9,0))</f>
        <v>290</v>
      </c>
      <c r="J323" s="7" t="n">
        <v>0</v>
      </c>
      <c r="K323" s="8" t="n">
        <f aca="false">H323*I323*(1-J323)</f>
        <v>870</v>
      </c>
      <c r="L323" s="6" t="n">
        <f aca="false">H323*INDEX(Products!$E$2:$E$9,MATCH(E323,Products!$A$2:$A$9,0))</f>
        <v>123</v>
      </c>
      <c r="M323" s="8" t="n">
        <f aca="false">K323-L323</f>
        <v>747</v>
      </c>
      <c r="N323" s="2" t="s">
        <v>28</v>
      </c>
      <c r="O323" s="2" t="s">
        <v>33</v>
      </c>
    </row>
    <row r="324" customFormat="false" ht="15" hidden="false" customHeight="false" outlineLevel="0" collapsed="false">
      <c r="A324" s="2" t="s">
        <v>378</v>
      </c>
      <c r="B324" s="3" t="n">
        <v>45790</v>
      </c>
      <c r="C324" s="2" t="s">
        <v>30</v>
      </c>
      <c r="D324" s="2" t="s">
        <v>77</v>
      </c>
      <c r="E324" s="2" t="s">
        <v>26</v>
      </c>
      <c r="F324" s="4" t="str">
        <f aca="false">INDEX(Products!$B$2:$B$9,MATCH(E324,Products!$A$2:$A$9,0))</f>
        <v>Analytics Basic</v>
      </c>
      <c r="G324" s="4" t="str">
        <f aca="false">INDEX(Products!$C$2:$C$9,MATCH(E324,Products!$A$2:$A$9,0))</f>
        <v>Software</v>
      </c>
      <c r="H324" s="5" t="n">
        <v>1</v>
      </c>
      <c r="I324" s="6" t="n">
        <f aca="false">INDEX(Products!$D$2:$D$9,MATCH(E324,Products!$A$2:$A$9,0))</f>
        <v>120</v>
      </c>
      <c r="J324" s="7" t="n">
        <v>0.15</v>
      </c>
      <c r="K324" s="8" t="n">
        <f aca="false">H324*I324*(1-J324)</f>
        <v>102</v>
      </c>
      <c r="L324" s="6" t="n">
        <f aca="false">H324*INDEX(Products!$E$2:$E$9,MATCH(E324,Products!$A$2:$A$9,0))</f>
        <v>18</v>
      </c>
      <c r="M324" s="8" t="n">
        <f aca="false">K324-L324</f>
        <v>84</v>
      </c>
      <c r="N324" s="2" t="s">
        <v>28</v>
      </c>
      <c r="O324" s="2" t="s">
        <v>64</v>
      </c>
    </row>
    <row r="325" customFormat="false" ht="15" hidden="false" customHeight="false" outlineLevel="0" collapsed="false">
      <c r="A325" s="2" t="s">
        <v>379</v>
      </c>
      <c r="B325" s="3" t="n">
        <v>45791</v>
      </c>
      <c r="C325" s="2" t="s">
        <v>59</v>
      </c>
      <c r="D325" s="2" t="s">
        <v>91</v>
      </c>
      <c r="E325" s="2" t="s">
        <v>26</v>
      </c>
      <c r="F325" s="4" t="str">
        <f aca="false">INDEX(Products!$B$2:$B$9,MATCH(E325,Products!$A$2:$A$9,0))</f>
        <v>Analytics Basic</v>
      </c>
      <c r="G325" s="4" t="str">
        <f aca="false">INDEX(Products!$C$2:$C$9,MATCH(E325,Products!$A$2:$A$9,0))</f>
        <v>Software</v>
      </c>
      <c r="H325" s="5" t="n">
        <v>5</v>
      </c>
      <c r="I325" s="6" t="n">
        <f aca="false">INDEX(Products!$D$2:$D$9,MATCH(E325,Products!$A$2:$A$9,0))</f>
        <v>120</v>
      </c>
      <c r="J325" s="7" t="n">
        <v>0.1</v>
      </c>
      <c r="K325" s="8" t="n">
        <f aca="false">H325*I325*(1-J325)</f>
        <v>540</v>
      </c>
      <c r="L325" s="6" t="n">
        <f aca="false">H325*INDEX(Products!$E$2:$E$9,MATCH(E325,Products!$A$2:$A$9,0))</f>
        <v>90</v>
      </c>
      <c r="M325" s="8" t="n">
        <f aca="false">K325-L325</f>
        <v>450</v>
      </c>
      <c r="N325" s="2" t="s">
        <v>19</v>
      </c>
      <c r="O325" s="2" t="s">
        <v>62</v>
      </c>
    </row>
    <row r="326" customFormat="false" ht="15" hidden="false" customHeight="false" outlineLevel="0" collapsed="false">
      <c r="A326" s="2" t="s">
        <v>380</v>
      </c>
      <c r="B326" s="3" t="n">
        <v>45791</v>
      </c>
      <c r="C326" s="2" t="s">
        <v>41</v>
      </c>
      <c r="D326" s="2" t="s">
        <v>66</v>
      </c>
      <c r="E326" s="2" t="s">
        <v>26</v>
      </c>
      <c r="F326" s="4" t="str">
        <f aca="false">INDEX(Products!$B$2:$B$9,MATCH(E326,Products!$A$2:$A$9,0))</f>
        <v>Analytics Basic</v>
      </c>
      <c r="G326" s="4" t="str">
        <f aca="false">INDEX(Products!$C$2:$C$9,MATCH(E326,Products!$A$2:$A$9,0))</f>
        <v>Software</v>
      </c>
      <c r="H326" s="5" t="n">
        <v>2</v>
      </c>
      <c r="I326" s="6" t="n">
        <f aca="false">INDEX(Products!$D$2:$D$9,MATCH(E326,Products!$A$2:$A$9,0))</f>
        <v>120</v>
      </c>
      <c r="J326" s="7" t="n">
        <v>0.15</v>
      </c>
      <c r="K326" s="8" t="n">
        <f aca="false">H326*I326*(1-J326)</f>
        <v>204</v>
      </c>
      <c r="L326" s="6" t="n">
        <f aca="false">H326*INDEX(Products!$E$2:$E$9,MATCH(E326,Products!$A$2:$A$9,0))</f>
        <v>36</v>
      </c>
      <c r="M326" s="8" t="n">
        <f aca="false">K326-L326</f>
        <v>168</v>
      </c>
      <c r="N326" s="2" t="s">
        <v>19</v>
      </c>
      <c r="O326" s="2" t="s">
        <v>52</v>
      </c>
    </row>
    <row r="327" customFormat="false" ht="15" hidden="false" customHeight="false" outlineLevel="0" collapsed="false">
      <c r="A327" s="2" t="s">
        <v>381</v>
      </c>
      <c r="B327" s="3" t="n">
        <v>45791</v>
      </c>
      <c r="C327" s="2" t="s">
        <v>41</v>
      </c>
      <c r="D327" s="2" t="s">
        <v>42</v>
      </c>
      <c r="E327" s="2" t="s">
        <v>23</v>
      </c>
      <c r="F327" s="4" t="str">
        <f aca="false">INDEX(Products!$B$2:$B$9,MATCH(E327,Products!$A$2:$A$9,0))</f>
        <v>Sensor Hub S</v>
      </c>
      <c r="G327" s="4" t="str">
        <f aca="false">INDEX(Products!$C$2:$C$9,MATCH(E327,Products!$A$2:$A$9,0))</f>
        <v>Hardware</v>
      </c>
      <c r="H327" s="5" t="n">
        <v>1</v>
      </c>
      <c r="I327" s="6" t="n">
        <f aca="false">INDEX(Products!$D$2:$D$9,MATCH(E327,Products!$A$2:$A$9,0))</f>
        <v>189</v>
      </c>
      <c r="J327" s="7" t="n">
        <v>0.1</v>
      </c>
      <c r="K327" s="8" t="n">
        <f aca="false">H327*I327*(1-J327)</f>
        <v>170.1</v>
      </c>
      <c r="L327" s="6" t="n">
        <f aca="false">H327*INDEX(Products!$E$2:$E$9,MATCH(E327,Products!$A$2:$A$9,0))</f>
        <v>98</v>
      </c>
      <c r="M327" s="8" t="n">
        <f aca="false">K327-L327</f>
        <v>72.1</v>
      </c>
      <c r="N327" s="2" t="s">
        <v>19</v>
      </c>
      <c r="O327" s="2" t="s">
        <v>43</v>
      </c>
    </row>
    <row r="328" customFormat="false" ht="15" hidden="false" customHeight="false" outlineLevel="0" collapsed="false">
      <c r="A328" s="2" t="s">
        <v>382</v>
      </c>
      <c r="B328" s="3" t="n">
        <v>45791</v>
      </c>
      <c r="C328" s="2" t="s">
        <v>47</v>
      </c>
      <c r="D328" s="2" t="s">
        <v>71</v>
      </c>
      <c r="E328" s="2" t="s">
        <v>68</v>
      </c>
      <c r="F328" s="4" t="str">
        <f aca="false">INDEX(Products!$B$2:$B$9,MATCH(E328,Products!$A$2:$A$9,0))</f>
        <v>Premium Support</v>
      </c>
      <c r="G328" s="4" t="str">
        <f aca="false">INDEX(Products!$C$2:$C$9,MATCH(E328,Products!$A$2:$A$9,0))</f>
        <v>Services</v>
      </c>
      <c r="H328" s="5" t="n">
        <v>1</v>
      </c>
      <c r="I328" s="6" t="n">
        <f aca="false">INDEX(Products!$D$2:$D$9,MATCH(E328,Products!$A$2:$A$9,0))</f>
        <v>600</v>
      </c>
      <c r="J328" s="7" t="n">
        <v>0.15</v>
      </c>
      <c r="K328" s="8" t="n">
        <f aca="false">H328*I328*(1-J328)</f>
        <v>510</v>
      </c>
      <c r="L328" s="6" t="n">
        <f aca="false">H328*INDEX(Products!$E$2:$E$9,MATCH(E328,Products!$A$2:$A$9,0))</f>
        <v>395</v>
      </c>
      <c r="M328" s="8" t="n">
        <f aca="false">K328-L328</f>
        <v>115</v>
      </c>
      <c r="N328" s="2" t="s">
        <v>19</v>
      </c>
      <c r="O328" s="2" t="s">
        <v>50</v>
      </c>
    </row>
    <row r="329" customFormat="false" ht="15" hidden="false" customHeight="false" outlineLevel="0" collapsed="false">
      <c r="A329" s="2" t="s">
        <v>383</v>
      </c>
      <c r="B329" s="3" t="n">
        <v>45792</v>
      </c>
      <c r="C329" s="2" t="s">
        <v>59</v>
      </c>
      <c r="D329" s="2" t="s">
        <v>91</v>
      </c>
      <c r="E329" s="2" t="s">
        <v>26</v>
      </c>
      <c r="F329" s="4" t="str">
        <f aca="false">INDEX(Products!$B$2:$B$9,MATCH(E329,Products!$A$2:$A$9,0))</f>
        <v>Analytics Basic</v>
      </c>
      <c r="G329" s="4" t="str">
        <f aca="false">INDEX(Products!$C$2:$C$9,MATCH(E329,Products!$A$2:$A$9,0))</f>
        <v>Software</v>
      </c>
      <c r="H329" s="5" t="n">
        <v>1</v>
      </c>
      <c r="I329" s="6" t="n">
        <f aca="false">INDEX(Products!$D$2:$D$9,MATCH(E329,Products!$A$2:$A$9,0))</f>
        <v>120</v>
      </c>
      <c r="J329" s="7" t="n">
        <v>0.15</v>
      </c>
      <c r="K329" s="8" t="n">
        <f aca="false">H329*I329*(1-J329)</f>
        <v>102</v>
      </c>
      <c r="L329" s="6" t="n">
        <f aca="false">H329*INDEX(Products!$E$2:$E$9,MATCH(E329,Products!$A$2:$A$9,0))</f>
        <v>18</v>
      </c>
      <c r="M329" s="8" t="n">
        <f aca="false">K329-L329</f>
        <v>84</v>
      </c>
      <c r="N329" s="2" t="s">
        <v>19</v>
      </c>
      <c r="O329" s="2" t="s">
        <v>62</v>
      </c>
    </row>
    <row r="330" customFormat="false" ht="15" hidden="false" customHeight="false" outlineLevel="0" collapsed="false">
      <c r="A330" s="2" t="s">
        <v>384</v>
      </c>
      <c r="B330" s="3" t="n">
        <v>45792</v>
      </c>
      <c r="C330" s="2" t="s">
        <v>41</v>
      </c>
      <c r="D330" s="2" t="s">
        <v>42</v>
      </c>
      <c r="E330" s="2" t="s">
        <v>32</v>
      </c>
      <c r="F330" s="4" t="str">
        <f aca="false">INDEX(Products!$B$2:$B$9,MATCH(E330,Products!$A$2:$A$9,0))</f>
        <v>Analytics Plus</v>
      </c>
      <c r="G330" s="4" t="str">
        <f aca="false">INDEX(Products!$C$2:$C$9,MATCH(E330,Products!$A$2:$A$9,0))</f>
        <v>Software</v>
      </c>
      <c r="H330" s="5" t="n">
        <v>1</v>
      </c>
      <c r="I330" s="6" t="n">
        <f aca="false">INDEX(Products!$D$2:$D$9,MATCH(E330,Products!$A$2:$A$9,0))</f>
        <v>290</v>
      </c>
      <c r="J330" s="7" t="n">
        <v>0.1</v>
      </c>
      <c r="K330" s="8" t="n">
        <f aca="false">H330*I330*(1-J330)</f>
        <v>261</v>
      </c>
      <c r="L330" s="6" t="n">
        <f aca="false">H330*INDEX(Products!$E$2:$E$9,MATCH(E330,Products!$A$2:$A$9,0))</f>
        <v>41</v>
      </c>
      <c r="M330" s="8" t="n">
        <f aca="false">K330-L330</f>
        <v>220</v>
      </c>
      <c r="N330" s="2" t="s">
        <v>19</v>
      </c>
      <c r="O330" s="2" t="s">
        <v>43</v>
      </c>
    </row>
    <row r="331" customFormat="false" ht="15" hidden="false" customHeight="false" outlineLevel="0" collapsed="false">
      <c r="A331" s="2" t="s">
        <v>385</v>
      </c>
      <c r="B331" s="3" t="n">
        <v>45792</v>
      </c>
      <c r="C331" s="2" t="s">
        <v>16</v>
      </c>
      <c r="D331" s="2" t="s">
        <v>35</v>
      </c>
      <c r="E331" s="2" t="s">
        <v>23</v>
      </c>
      <c r="F331" s="4" t="str">
        <f aca="false">INDEX(Products!$B$2:$B$9,MATCH(E331,Products!$A$2:$A$9,0))</f>
        <v>Sensor Hub S</v>
      </c>
      <c r="G331" s="4" t="str">
        <f aca="false">INDEX(Products!$C$2:$C$9,MATCH(E331,Products!$A$2:$A$9,0))</f>
        <v>Hardware</v>
      </c>
      <c r="H331" s="5" t="n">
        <v>20</v>
      </c>
      <c r="I331" s="6" t="n">
        <f aca="false">INDEX(Products!$D$2:$D$9,MATCH(E331,Products!$A$2:$A$9,0))</f>
        <v>189</v>
      </c>
      <c r="J331" s="7" t="n">
        <v>0.05</v>
      </c>
      <c r="K331" s="8" t="n">
        <f aca="false">H331*I331*(1-J331)</f>
        <v>3591</v>
      </c>
      <c r="L331" s="6" t="n">
        <f aca="false">H331*INDEX(Products!$E$2:$E$9,MATCH(E331,Products!$A$2:$A$9,0))</f>
        <v>1960</v>
      </c>
      <c r="M331" s="8" t="n">
        <f aca="false">K331-L331</f>
        <v>1631</v>
      </c>
      <c r="N331" s="2" t="s">
        <v>28</v>
      </c>
      <c r="O331" s="2" t="s">
        <v>20</v>
      </c>
    </row>
    <row r="332" customFormat="false" ht="15" hidden="false" customHeight="false" outlineLevel="0" collapsed="false">
      <c r="A332" s="2" t="s">
        <v>386</v>
      </c>
      <c r="B332" s="3" t="n">
        <v>45792</v>
      </c>
      <c r="C332" s="2" t="s">
        <v>16</v>
      </c>
      <c r="D332" s="2" t="s">
        <v>35</v>
      </c>
      <c r="E332" s="2" t="s">
        <v>23</v>
      </c>
      <c r="F332" s="4" t="str">
        <f aca="false">INDEX(Products!$B$2:$B$9,MATCH(E332,Products!$A$2:$A$9,0))</f>
        <v>Sensor Hub S</v>
      </c>
      <c r="G332" s="4" t="str">
        <f aca="false">INDEX(Products!$C$2:$C$9,MATCH(E332,Products!$A$2:$A$9,0))</f>
        <v>Hardware</v>
      </c>
      <c r="H332" s="5" t="n">
        <v>3</v>
      </c>
      <c r="I332" s="6" t="n">
        <f aca="false">INDEX(Products!$D$2:$D$9,MATCH(E332,Products!$A$2:$A$9,0))</f>
        <v>189</v>
      </c>
      <c r="J332" s="7" t="n">
        <v>0.15</v>
      </c>
      <c r="K332" s="8" t="n">
        <f aca="false">H332*I332*(1-J332)</f>
        <v>481.95</v>
      </c>
      <c r="L332" s="6" t="n">
        <f aca="false">H332*INDEX(Products!$E$2:$E$9,MATCH(E332,Products!$A$2:$A$9,0))</f>
        <v>294</v>
      </c>
      <c r="M332" s="8" t="n">
        <f aca="false">K332-L332</f>
        <v>187.95</v>
      </c>
      <c r="N332" s="2" t="s">
        <v>28</v>
      </c>
      <c r="O332" s="2" t="s">
        <v>36</v>
      </c>
    </row>
    <row r="333" customFormat="false" ht="15" hidden="false" customHeight="false" outlineLevel="0" collapsed="false">
      <c r="A333" s="2" t="s">
        <v>387</v>
      </c>
      <c r="B333" s="3" t="n">
        <v>45793</v>
      </c>
      <c r="C333" s="2" t="s">
        <v>16</v>
      </c>
      <c r="D333" s="2" t="s">
        <v>25</v>
      </c>
      <c r="E333" s="2" t="s">
        <v>23</v>
      </c>
      <c r="F333" s="4" t="str">
        <f aca="false">INDEX(Products!$B$2:$B$9,MATCH(E333,Products!$A$2:$A$9,0))</f>
        <v>Sensor Hub S</v>
      </c>
      <c r="G333" s="4" t="str">
        <f aca="false">INDEX(Products!$C$2:$C$9,MATCH(E333,Products!$A$2:$A$9,0))</f>
        <v>Hardware</v>
      </c>
      <c r="H333" s="5" t="n">
        <v>8</v>
      </c>
      <c r="I333" s="6" t="n">
        <f aca="false">INDEX(Products!$D$2:$D$9,MATCH(E333,Products!$A$2:$A$9,0))</f>
        <v>189</v>
      </c>
      <c r="J333" s="7" t="n">
        <v>0.15</v>
      </c>
      <c r="K333" s="8" t="n">
        <f aca="false">H333*I333*(1-J333)</f>
        <v>1285.2</v>
      </c>
      <c r="L333" s="6" t="n">
        <f aca="false">H333*INDEX(Products!$E$2:$E$9,MATCH(E333,Products!$A$2:$A$9,0))</f>
        <v>784</v>
      </c>
      <c r="M333" s="8" t="n">
        <f aca="false">K333-L333</f>
        <v>501.2</v>
      </c>
      <c r="N333" s="2" t="s">
        <v>19</v>
      </c>
      <c r="O333" s="2" t="s">
        <v>36</v>
      </c>
    </row>
    <row r="334" customFormat="false" ht="15" hidden="false" customHeight="false" outlineLevel="0" collapsed="false">
      <c r="A334" s="2" t="s">
        <v>388</v>
      </c>
      <c r="B334" s="3" t="n">
        <v>45793</v>
      </c>
      <c r="C334" s="2" t="s">
        <v>16</v>
      </c>
      <c r="D334" s="2" t="s">
        <v>35</v>
      </c>
      <c r="E334" s="2" t="s">
        <v>57</v>
      </c>
      <c r="F334" s="4" t="str">
        <f aca="false">INDEX(Products!$B$2:$B$9,MATCH(E334,Products!$A$2:$A$9,0))</f>
        <v>Edge Gateway</v>
      </c>
      <c r="G334" s="4" t="str">
        <f aca="false">INDEX(Products!$C$2:$C$9,MATCH(E334,Products!$A$2:$A$9,0))</f>
        <v>Hardware</v>
      </c>
      <c r="H334" s="5" t="n">
        <v>1</v>
      </c>
      <c r="I334" s="6" t="n">
        <f aca="false">INDEX(Products!$D$2:$D$9,MATCH(E334,Products!$A$2:$A$9,0))</f>
        <v>899</v>
      </c>
      <c r="J334" s="7" t="n">
        <v>0.25</v>
      </c>
      <c r="K334" s="8" t="n">
        <f aca="false">H334*I334*(1-J334)</f>
        <v>674.25</v>
      </c>
      <c r="L334" s="6" t="n">
        <f aca="false">H334*INDEX(Products!$E$2:$E$9,MATCH(E334,Products!$A$2:$A$9,0))</f>
        <v>612</v>
      </c>
      <c r="M334" s="8" t="n">
        <f aca="false">K334-L334</f>
        <v>62.25</v>
      </c>
      <c r="N334" s="2" t="s">
        <v>19</v>
      </c>
      <c r="O334" s="2" t="s">
        <v>20</v>
      </c>
    </row>
    <row r="335" customFormat="false" ht="15" hidden="false" customHeight="false" outlineLevel="0" collapsed="false">
      <c r="A335" s="2" t="s">
        <v>389</v>
      </c>
      <c r="B335" s="3" t="n">
        <v>45793</v>
      </c>
      <c r="C335" s="2" t="s">
        <v>16</v>
      </c>
      <c r="D335" s="2" t="s">
        <v>22</v>
      </c>
      <c r="E335" s="2" t="s">
        <v>26</v>
      </c>
      <c r="F335" s="4" t="str">
        <f aca="false">INDEX(Products!$B$2:$B$9,MATCH(E335,Products!$A$2:$A$9,0))</f>
        <v>Analytics Basic</v>
      </c>
      <c r="G335" s="4" t="str">
        <f aca="false">INDEX(Products!$C$2:$C$9,MATCH(E335,Products!$A$2:$A$9,0))</f>
        <v>Software</v>
      </c>
      <c r="H335" s="5" t="n">
        <v>1</v>
      </c>
      <c r="I335" s="6" t="n">
        <f aca="false">INDEX(Products!$D$2:$D$9,MATCH(E335,Products!$A$2:$A$9,0))</f>
        <v>120</v>
      </c>
      <c r="J335" s="7" t="n">
        <v>0.15</v>
      </c>
      <c r="K335" s="8" t="n">
        <f aca="false">H335*I335*(1-J335)</f>
        <v>102</v>
      </c>
      <c r="L335" s="6" t="n">
        <f aca="false">H335*INDEX(Products!$E$2:$E$9,MATCH(E335,Products!$A$2:$A$9,0))</f>
        <v>18</v>
      </c>
      <c r="M335" s="8" t="n">
        <f aca="false">K335-L335</f>
        <v>84</v>
      </c>
      <c r="N335" s="2" t="s">
        <v>19</v>
      </c>
      <c r="O335" s="2" t="s">
        <v>36</v>
      </c>
    </row>
    <row r="336" customFormat="false" ht="15" hidden="false" customHeight="false" outlineLevel="0" collapsed="false">
      <c r="A336" s="2" t="s">
        <v>390</v>
      </c>
      <c r="B336" s="3" t="n">
        <v>45793</v>
      </c>
      <c r="C336" s="2" t="s">
        <v>41</v>
      </c>
      <c r="D336" s="2" t="s">
        <v>42</v>
      </c>
      <c r="E336" s="2" t="s">
        <v>23</v>
      </c>
      <c r="F336" s="4" t="str">
        <f aca="false">INDEX(Products!$B$2:$B$9,MATCH(E336,Products!$A$2:$A$9,0))</f>
        <v>Sensor Hub S</v>
      </c>
      <c r="G336" s="4" t="str">
        <f aca="false">INDEX(Products!$C$2:$C$9,MATCH(E336,Products!$A$2:$A$9,0))</f>
        <v>Hardware</v>
      </c>
      <c r="H336" s="5" t="n">
        <v>3</v>
      </c>
      <c r="I336" s="6" t="n">
        <f aca="false">INDEX(Products!$D$2:$D$9,MATCH(E336,Products!$A$2:$A$9,0))</f>
        <v>189</v>
      </c>
      <c r="J336" s="7" t="n">
        <v>0.05</v>
      </c>
      <c r="K336" s="8" t="n">
        <f aca="false">H336*I336*(1-J336)</f>
        <v>538.65</v>
      </c>
      <c r="L336" s="6" t="n">
        <f aca="false">H336*INDEX(Products!$E$2:$E$9,MATCH(E336,Products!$A$2:$A$9,0))</f>
        <v>294</v>
      </c>
      <c r="M336" s="8" t="n">
        <f aca="false">K336-L336</f>
        <v>244.65</v>
      </c>
      <c r="N336" s="2" t="s">
        <v>28</v>
      </c>
      <c r="O336" s="2" t="s">
        <v>43</v>
      </c>
    </row>
    <row r="337" customFormat="false" ht="15" hidden="false" customHeight="false" outlineLevel="0" collapsed="false">
      <c r="A337" s="2" t="s">
        <v>391</v>
      </c>
      <c r="B337" s="3" t="n">
        <v>45794</v>
      </c>
      <c r="C337" s="2" t="s">
        <v>30</v>
      </c>
      <c r="D337" s="2" t="s">
        <v>128</v>
      </c>
      <c r="E337" s="2" t="s">
        <v>57</v>
      </c>
      <c r="F337" s="4" t="str">
        <f aca="false">INDEX(Products!$B$2:$B$9,MATCH(E337,Products!$A$2:$A$9,0))</f>
        <v>Edge Gateway</v>
      </c>
      <c r="G337" s="4" t="str">
        <f aca="false">INDEX(Products!$C$2:$C$9,MATCH(E337,Products!$A$2:$A$9,0))</f>
        <v>Hardware</v>
      </c>
      <c r="H337" s="5" t="n">
        <v>2</v>
      </c>
      <c r="I337" s="6" t="n">
        <f aca="false">INDEX(Products!$D$2:$D$9,MATCH(E337,Products!$A$2:$A$9,0))</f>
        <v>899</v>
      </c>
      <c r="J337" s="7" t="n">
        <v>0.25</v>
      </c>
      <c r="K337" s="8" t="n">
        <f aca="false">H337*I337*(1-J337)</f>
        <v>1348.5</v>
      </c>
      <c r="L337" s="6" t="n">
        <f aca="false">H337*INDEX(Products!$E$2:$E$9,MATCH(E337,Products!$A$2:$A$9,0))</f>
        <v>1224</v>
      </c>
      <c r="M337" s="8" t="n">
        <f aca="false">K337-L337</f>
        <v>124.5</v>
      </c>
      <c r="N337" s="2" t="s">
        <v>19</v>
      </c>
      <c r="O337" s="2" t="s">
        <v>64</v>
      </c>
    </row>
    <row r="338" customFormat="false" ht="15" hidden="false" customHeight="false" outlineLevel="0" collapsed="false">
      <c r="A338" s="2" t="s">
        <v>392</v>
      </c>
      <c r="B338" s="3" t="n">
        <v>45796</v>
      </c>
      <c r="C338" s="2" t="s">
        <v>47</v>
      </c>
      <c r="D338" s="2" t="s">
        <v>71</v>
      </c>
      <c r="E338" s="2" t="s">
        <v>68</v>
      </c>
      <c r="F338" s="4" t="str">
        <f aca="false">INDEX(Products!$B$2:$B$9,MATCH(E338,Products!$A$2:$A$9,0))</f>
        <v>Premium Support</v>
      </c>
      <c r="G338" s="4" t="str">
        <f aca="false">INDEX(Products!$C$2:$C$9,MATCH(E338,Products!$A$2:$A$9,0))</f>
        <v>Services</v>
      </c>
      <c r="H338" s="5" t="n">
        <v>2</v>
      </c>
      <c r="I338" s="6" t="n">
        <f aca="false">INDEX(Products!$D$2:$D$9,MATCH(E338,Products!$A$2:$A$9,0))</f>
        <v>600</v>
      </c>
      <c r="J338" s="7" t="n">
        <v>0.1</v>
      </c>
      <c r="K338" s="8" t="n">
        <f aca="false">H338*I338*(1-J338)</f>
        <v>1080</v>
      </c>
      <c r="L338" s="6" t="n">
        <f aca="false">H338*INDEX(Products!$E$2:$E$9,MATCH(E338,Products!$A$2:$A$9,0))</f>
        <v>790</v>
      </c>
      <c r="M338" s="8" t="n">
        <f aca="false">K338-L338</f>
        <v>290</v>
      </c>
      <c r="N338" s="2" t="s">
        <v>19</v>
      </c>
      <c r="O338" s="2" t="s">
        <v>50</v>
      </c>
    </row>
    <row r="339" customFormat="false" ht="15" hidden="false" customHeight="false" outlineLevel="0" collapsed="false">
      <c r="A339" s="2" t="s">
        <v>393</v>
      </c>
      <c r="B339" s="3" t="n">
        <v>45796</v>
      </c>
      <c r="C339" s="2" t="s">
        <v>47</v>
      </c>
      <c r="D339" s="2" t="s">
        <v>157</v>
      </c>
      <c r="E339" s="2" t="s">
        <v>68</v>
      </c>
      <c r="F339" s="4" t="str">
        <f aca="false">INDEX(Products!$B$2:$B$9,MATCH(E339,Products!$A$2:$A$9,0))</f>
        <v>Premium Support</v>
      </c>
      <c r="G339" s="4" t="str">
        <f aca="false">INDEX(Products!$C$2:$C$9,MATCH(E339,Products!$A$2:$A$9,0))</f>
        <v>Services</v>
      </c>
      <c r="H339" s="5" t="n">
        <v>5</v>
      </c>
      <c r="I339" s="6" t="n">
        <f aca="false">INDEX(Products!$D$2:$D$9,MATCH(E339,Products!$A$2:$A$9,0))</f>
        <v>600</v>
      </c>
      <c r="J339" s="7" t="n">
        <v>0</v>
      </c>
      <c r="K339" s="8" t="n">
        <f aca="false">H339*I339*(1-J339)</f>
        <v>3000</v>
      </c>
      <c r="L339" s="6" t="n">
        <f aca="false">H339*INDEX(Products!$E$2:$E$9,MATCH(E339,Products!$A$2:$A$9,0))</f>
        <v>1975</v>
      </c>
      <c r="M339" s="8" t="n">
        <f aca="false">K339-L339</f>
        <v>1025</v>
      </c>
      <c r="N339" s="2" t="s">
        <v>38</v>
      </c>
      <c r="O339" s="2" t="s">
        <v>50</v>
      </c>
    </row>
    <row r="340" customFormat="false" ht="15" hidden="false" customHeight="false" outlineLevel="0" collapsed="false">
      <c r="A340" s="2" t="s">
        <v>394</v>
      </c>
      <c r="B340" s="3" t="n">
        <v>45796</v>
      </c>
      <c r="C340" s="2" t="s">
        <v>41</v>
      </c>
      <c r="D340" s="2" t="s">
        <v>66</v>
      </c>
      <c r="E340" s="2" t="s">
        <v>32</v>
      </c>
      <c r="F340" s="4" t="str">
        <f aca="false">INDEX(Products!$B$2:$B$9,MATCH(E340,Products!$A$2:$A$9,0))</f>
        <v>Analytics Plus</v>
      </c>
      <c r="G340" s="4" t="str">
        <f aca="false">INDEX(Products!$C$2:$C$9,MATCH(E340,Products!$A$2:$A$9,0))</f>
        <v>Software</v>
      </c>
      <c r="H340" s="5" t="n">
        <v>2</v>
      </c>
      <c r="I340" s="6" t="n">
        <f aca="false">INDEX(Products!$D$2:$D$9,MATCH(E340,Products!$A$2:$A$9,0))</f>
        <v>290</v>
      </c>
      <c r="J340" s="7" t="n">
        <v>0.05</v>
      </c>
      <c r="K340" s="8" t="n">
        <f aca="false">H340*I340*(1-J340)</f>
        <v>551</v>
      </c>
      <c r="L340" s="6" t="n">
        <f aca="false">H340*INDEX(Products!$E$2:$E$9,MATCH(E340,Products!$A$2:$A$9,0))</f>
        <v>82</v>
      </c>
      <c r="M340" s="8" t="n">
        <f aca="false">K340-L340</f>
        <v>469</v>
      </c>
      <c r="N340" s="2" t="s">
        <v>28</v>
      </c>
      <c r="O340" s="2" t="s">
        <v>52</v>
      </c>
    </row>
    <row r="341" customFormat="false" ht="15" hidden="false" customHeight="false" outlineLevel="0" collapsed="false">
      <c r="A341" s="2" t="s">
        <v>395</v>
      </c>
      <c r="B341" s="3" t="n">
        <v>45797</v>
      </c>
      <c r="C341" s="2" t="s">
        <v>41</v>
      </c>
      <c r="D341" s="2" t="s">
        <v>66</v>
      </c>
      <c r="E341" s="2" t="s">
        <v>32</v>
      </c>
      <c r="F341" s="4" t="str">
        <f aca="false">INDEX(Products!$B$2:$B$9,MATCH(E341,Products!$A$2:$A$9,0))</f>
        <v>Analytics Plus</v>
      </c>
      <c r="G341" s="4" t="str">
        <f aca="false">INDEX(Products!$C$2:$C$9,MATCH(E341,Products!$A$2:$A$9,0))</f>
        <v>Software</v>
      </c>
      <c r="H341" s="5" t="n">
        <v>3</v>
      </c>
      <c r="I341" s="6" t="n">
        <f aca="false">INDEX(Products!$D$2:$D$9,MATCH(E341,Products!$A$2:$A$9,0))</f>
        <v>290</v>
      </c>
      <c r="J341" s="7" t="n">
        <v>0.1</v>
      </c>
      <c r="K341" s="8" t="n">
        <f aca="false">H341*I341*(1-J341)</f>
        <v>783</v>
      </c>
      <c r="L341" s="6" t="n">
        <f aca="false">H341*INDEX(Products!$E$2:$E$9,MATCH(E341,Products!$A$2:$A$9,0))</f>
        <v>123</v>
      </c>
      <c r="M341" s="8" t="n">
        <f aca="false">K341-L341</f>
        <v>660</v>
      </c>
      <c r="N341" s="2" t="s">
        <v>19</v>
      </c>
      <c r="O341" s="2" t="s">
        <v>52</v>
      </c>
    </row>
    <row r="342" customFormat="false" ht="15" hidden="false" customHeight="false" outlineLevel="0" collapsed="false">
      <c r="A342" s="2" t="s">
        <v>396</v>
      </c>
      <c r="B342" s="3" t="n">
        <v>45797</v>
      </c>
      <c r="C342" s="2" t="s">
        <v>30</v>
      </c>
      <c r="D342" s="2" t="s">
        <v>128</v>
      </c>
      <c r="E342" s="2" t="s">
        <v>57</v>
      </c>
      <c r="F342" s="4" t="str">
        <f aca="false">INDEX(Products!$B$2:$B$9,MATCH(E342,Products!$A$2:$A$9,0))</f>
        <v>Edge Gateway</v>
      </c>
      <c r="G342" s="4" t="str">
        <f aca="false">INDEX(Products!$C$2:$C$9,MATCH(E342,Products!$A$2:$A$9,0))</f>
        <v>Hardware</v>
      </c>
      <c r="H342" s="5" t="n">
        <v>1</v>
      </c>
      <c r="I342" s="6" t="n">
        <f aca="false">INDEX(Products!$D$2:$D$9,MATCH(E342,Products!$A$2:$A$9,0))</f>
        <v>899</v>
      </c>
      <c r="J342" s="7" t="n">
        <v>0.25</v>
      </c>
      <c r="K342" s="8" t="n">
        <f aca="false">H342*I342*(1-J342)</f>
        <v>674.25</v>
      </c>
      <c r="L342" s="6" t="n">
        <f aca="false">H342*INDEX(Products!$E$2:$E$9,MATCH(E342,Products!$A$2:$A$9,0))</f>
        <v>612</v>
      </c>
      <c r="M342" s="8" t="n">
        <f aca="false">K342-L342</f>
        <v>62.25</v>
      </c>
      <c r="N342" s="2" t="s">
        <v>38</v>
      </c>
      <c r="O342" s="2" t="s">
        <v>64</v>
      </c>
    </row>
    <row r="343" customFormat="false" ht="15" hidden="false" customHeight="false" outlineLevel="0" collapsed="false">
      <c r="A343" s="2" t="s">
        <v>397</v>
      </c>
      <c r="B343" s="3" t="n">
        <v>45797</v>
      </c>
      <c r="C343" s="2" t="s">
        <v>41</v>
      </c>
      <c r="D343" s="2" t="s">
        <v>42</v>
      </c>
      <c r="E343" s="2" t="s">
        <v>26</v>
      </c>
      <c r="F343" s="4" t="str">
        <f aca="false">INDEX(Products!$B$2:$B$9,MATCH(E343,Products!$A$2:$A$9,0))</f>
        <v>Analytics Basic</v>
      </c>
      <c r="G343" s="4" t="str">
        <f aca="false">INDEX(Products!$C$2:$C$9,MATCH(E343,Products!$A$2:$A$9,0))</f>
        <v>Software</v>
      </c>
      <c r="H343" s="5" t="n">
        <v>5</v>
      </c>
      <c r="I343" s="6" t="n">
        <f aca="false">INDEX(Products!$D$2:$D$9,MATCH(E343,Products!$A$2:$A$9,0))</f>
        <v>120</v>
      </c>
      <c r="J343" s="7" t="n">
        <v>0.1</v>
      </c>
      <c r="K343" s="8" t="n">
        <f aca="false">H343*I343*(1-J343)</f>
        <v>540</v>
      </c>
      <c r="L343" s="6" t="n">
        <f aca="false">H343*INDEX(Products!$E$2:$E$9,MATCH(E343,Products!$A$2:$A$9,0))</f>
        <v>90</v>
      </c>
      <c r="M343" s="8" t="n">
        <f aca="false">K343-L343</f>
        <v>450</v>
      </c>
      <c r="N343" s="2" t="s">
        <v>28</v>
      </c>
      <c r="O343" s="2" t="s">
        <v>52</v>
      </c>
    </row>
    <row r="344" customFormat="false" ht="15" hidden="false" customHeight="false" outlineLevel="0" collapsed="false">
      <c r="A344" s="2" t="s">
        <v>398</v>
      </c>
      <c r="B344" s="3" t="n">
        <v>45798</v>
      </c>
      <c r="C344" s="2" t="s">
        <v>16</v>
      </c>
      <c r="D344" s="2" t="s">
        <v>35</v>
      </c>
      <c r="E344" s="2" t="s">
        <v>68</v>
      </c>
      <c r="F344" s="4" t="str">
        <f aca="false">INDEX(Products!$B$2:$B$9,MATCH(E344,Products!$A$2:$A$9,0))</f>
        <v>Premium Support</v>
      </c>
      <c r="G344" s="4" t="str">
        <f aca="false">INDEX(Products!$C$2:$C$9,MATCH(E344,Products!$A$2:$A$9,0))</f>
        <v>Services</v>
      </c>
      <c r="H344" s="5" t="n">
        <v>2</v>
      </c>
      <c r="I344" s="6" t="n">
        <f aca="false">INDEX(Products!$D$2:$D$9,MATCH(E344,Products!$A$2:$A$9,0))</f>
        <v>600</v>
      </c>
      <c r="J344" s="7" t="n">
        <v>0.1</v>
      </c>
      <c r="K344" s="8" t="n">
        <f aca="false">H344*I344*(1-J344)</f>
        <v>1080</v>
      </c>
      <c r="L344" s="6" t="n">
        <f aca="false">H344*INDEX(Products!$E$2:$E$9,MATCH(E344,Products!$A$2:$A$9,0))</f>
        <v>790</v>
      </c>
      <c r="M344" s="8" t="n">
        <f aca="false">K344-L344</f>
        <v>290</v>
      </c>
      <c r="N344" s="2" t="s">
        <v>19</v>
      </c>
      <c r="O344" s="2" t="s">
        <v>36</v>
      </c>
    </row>
    <row r="345" customFormat="false" ht="15" hidden="false" customHeight="false" outlineLevel="0" collapsed="false">
      <c r="A345" s="2" t="s">
        <v>399</v>
      </c>
      <c r="B345" s="3" t="n">
        <v>45798</v>
      </c>
      <c r="C345" s="2" t="s">
        <v>16</v>
      </c>
      <c r="D345" s="2" t="s">
        <v>25</v>
      </c>
      <c r="E345" s="2" t="s">
        <v>23</v>
      </c>
      <c r="F345" s="4" t="str">
        <f aca="false">INDEX(Products!$B$2:$B$9,MATCH(E345,Products!$A$2:$A$9,0))</f>
        <v>Sensor Hub S</v>
      </c>
      <c r="G345" s="4" t="str">
        <f aca="false">INDEX(Products!$C$2:$C$9,MATCH(E345,Products!$A$2:$A$9,0))</f>
        <v>Hardware</v>
      </c>
      <c r="H345" s="5" t="n">
        <v>5</v>
      </c>
      <c r="I345" s="6" t="n">
        <f aca="false">INDEX(Products!$D$2:$D$9,MATCH(E345,Products!$A$2:$A$9,0))</f>
        <v>189</v>
      </c>
      <c r="J345" s="7" t="n">
        <v>0.1</v>
      </c>
      <c r="K345" s="8" t="n">
        <f aca="false">H345*I345*(1-J345)</f>
        <v>850.5</v>
      </c>
      <c r="L345" s="6" t="n">
        <f aca="false">H345*INDEX(Products!$E$2:$E$9,MATCH(E345,Products!$A$2:$A$9,0))</f>
        <v>490</v>
      </c>
      <c r="M345" s="8" t="n">
        <f aca="false">K345-L345</f>
        <v>360.5</v>
      </c>
      <c r="N345" s="2" t="s">
        <v>19</v>
      </c>
      <c r="O345" s="2" t="s">
        <v>20</v>
      </c>
    </row>
    <row r="346" customFormat="false" ht="15" hidden="false" customHeight="false" outlineLevel="0" collapsed="false">
      <c r="A346" s="2" t="s">
        <v>400</v>
      </c>
      <c r="B346" s="3" t="n">
        <v>45798</v>
      </c>
      <c r="C346" s="2" t="s">
        <v>41</v>
      </c>
      <c r="D346" s="2" t="s">
        <v>66</v>
      </c>
      <c r="E346" s="2" t="s">
        <v>26</v>
      </c>
      <c r="F346" s="4" t="str">
        <f aca="false">INDEX(Products!$B$2:$B$9,MATCH(E346,Products!$A$2:$A$9,0))</f>
        <v>Analytics Basic</v>
      </c>
      <c r="G346" s="4" t="str">
        <f aca="false">INDEX(Products!$C$2:$C$9,MATCH(E346,Products!$A$2:$A$9,0))</f>
        <v>Software</v>
      </c>
      <c r="H346" s="5" t="n">
        <v>5</v>
      </c>
      <c r="I346" s="6" t="n">
        <f aca="false">INDEX(Products!$D$2:$D$9,MATCH(E346,Products!$A$2:$A$9,0))</f>
        <v>120</v>
      </c>
      <c r="J346" s="7" t="n">
        <v>0</v>
      </c>
      <c r="K346" s="8" t="n">
        <f aca="false">H346*I346*(1-J346)</f>
        <v>600</v>
      </c>
      <c r="L346" s="6" t="n">
        <f aca="false">H346*INDEX(Products!$E$2:$E$9,MATCH(E346,Products!$A$2:$A$9,0))</f>
        <v>90</v>
      </c>
      <c r="M346" s="8" t="n">
        <f aca="false">K346-L346</f>
        <v>510</v>
      </c>
      <c r="N346" s="2" t="s">
        <v>28</v>
      </c>
      <c r="O346" s="2" t="s">
        <v>43</v>
      </c>
    </row>
    <row r="347" customFormat="false" ht="15" hidden="false" customHeight="false" outlineLevel="0" collapsed="false">
      <c r="A347" s="2" t="s">
        <v>401</v>
      </c>
      <c r="B347" s="3" t="n">
        <v>45798</v>
      </c>
      <c r="C347" s="2" t="s">
        <v>16</v>
      </c>
      <c r="D347" s="2" t="s">
        <v>17</v>
      </c>
      <c r="E347" s="2" t="s">
        <v>18</v>
      </c>
      <c r="F347" s="4" t="str">
        <f aca="false">INDEX(Products!$B$2:$B$9,MATCH(E347,Products!$A$2:$A$9,0))</f>
        <v>Sensor Hub Pro</v>
      </c>
      <c r="G347" s="4" t="str">
        <f aca="false">INDEX(Products!$C$2:$C$9,MATCH(E347,Products!$A$2:$A$9,0))</f>
        <v>Hardware</v>
      </c>
      <c r="H347" s="5" t="n">
        <v>20</v>
      </c>
      <c r="I347" s="6" t="n">
        <f aca="false">INDEX(Products!$D$2:$D$9,MATCH(E347,Products!$A$2:$A$9,0))</f>
        <v>349</v>
      </c>
      <c r="J347" s="7" t="n">
        <v>0.1</v>
      </c>
      <c r="K347" s="8" t="n">
        <f aca="false">H347*I347*(1-J347)</f>
        <v>6282</v>
      </c>
      <c r="L347" s="6" t="n">
        <f aca="false">H347*INDEX(Products!$E$2:$E$9,MATCH(E347,Products!$A$2:$A$9,0))</f>
        <v>4020</v>
      </c>
      <c r="M347" s="8" t="n">
        <f aca="false">K347-L347</f>
        <v>2262</v>
      </c>
      <c r="N347" s="2" t="s">
        <v>28</v>
      </c>
      <c r="O347" s="2" t="s">
        <v>20</v>
      </c>
    </row>
    <row r="348" customFormat="false" ht="15" hidden="false" customHeight="false" outlineLevel="0" collapsed="false">
      <c r="A348" s="2" t="s">
        <v>402</v>
      </c>
      <c r="B348" s="3" t="n">
        <v>45799</v>
      </c>
      <c r="C348" s="2" t="s">
        <v>59</v>
      </c>
      <c r="D348" s="2" t="s">
        <v>91</v>
      </c>
      <c r="E348" s="2" t="s">
        <v>18</v>
      </c>
      <c r="F348" s="4" t="str">
        <f aca="false">INDEX(Products!$B$2:$B$9,MATCH(E348,Products!$A$2:$A$9,0))</f>
        <v>Sensor Hub Pro</v>
      </c>
      <c r="G348" s="4" t="str">
        <f aca="false">INDEX(Products!$C$2:$C$9,MATCH(E348,Products!$A$2:$A$9,0))</f>
        <v>Hardware</v>
      </c>
      <c r="H348" s="5" t="n">
        <v>5</v>
      </c>
      <c r="I348" s="6" t="n">
        <f aca="false">INDEX(Products!$D$2:$D$9,MATCH(E348,Products!$A$2:$A$9,0))</f>
        <v>349</v>
      </c>
      <c r="J348" s="7" t="n">
        <v>0</v>
      </c>
      <c r="K348" s="8" t="n">
        <f aca="false">H348*I348*(1-J348)</f>
        <v>1745</v>
      </c>
      <c r="L348" s="6" t="n">
        <f aca="false">H348*INDEX(Products!$E$2:$E$9,MATCH(E348,Products!$A$2:$A$9,0))</f>
        <v>1005</v>
      </c>
      <c r="M348" s="8" t="n">
        <f aca="false">K348-L348</f>
        <v>740</v>
      </c>
      <c r="N348" s="2" t="s">
        <v>28</v>
      </c>
      <c r="O348" s="2" t="s">
        <v>62</v>
      </c>
    </row>
    <row r="349" customFormat="false" ht="15" hidden="false" customHeight="false" outlineLevel="0" collapsed="false">
      <c r="A349" s="2" t="s">
        <v>403</v>
      </c>
      <c r="B349" s="3" t="n">
        <v>45799</v>
      </c>
      <c r="C349" s="2" t="s">
        <v>47</v>
      </c>
      <c r="D349" s="2" t="s">
        <v>71</v>
      </c>
      <c r="E349" s="2" t="s">
        <v>26</v>
      </c>
      <c r="F349" s="4" t="str">
        <f aca="false">INDEX(Products!$B$2:$B$9,MATCH(E349,Products!$A$2:$A$9,0))</f>
        <v>Analytics Basic</v>
      </c>
      <c r="G349" s="4" t="str">
        <f aca="false">INDEX(Products!$C$2:$C$9,MATCH(E349,Products!$A$2:$A$9,0))</f>
        <v>Software</v>
      </c>
      <c r="H349" s="5" t="n">
        <v>3</v>
      </c>
      <c r="I349" s="6" t="n">
        <f aca="false">INDEX(Products!$D$2:$D$9,MATCH(E349,Products!$A$2:$A$9,0))</f>
        <v>120</v>
      </c>
      <c r="J349" s="7" t="n">
        <v>0.1</v>
      </c>
      <c r="K349" s="8" t="n">
        <f aca="false">H349*I349*(1-J349)</f>
        <v>324</v>
      </c>
      <c r="L349" s="6" t="n">
        <f aca="false">H349*INDEX(Products!$E$2:$E$9,MATCH(E349,Products!$A$2:$A$9,0))</f>
        <v>54</v>
      </c>
      <c r="M349" s="8" t="n">
        <f aca="false">K349-L349</f>
        <v>270</v>
      </c>
      <c r="N349" s="2" t="s">
        <v>19</v>
      </c>
      <c r="O349" s="2" t="s">
        <v>50</v>
      </c>
    </row>
    <row r="350" customFormat="false" ht="15" hidden="false" customHeight="false" outlineLevel="0" collapsed="false">
      <c r="A350" s="2" t="s">
        <v>404</v>
      </c>
      <c r="B350" s="3" t="n">
        <v>45800</v>
      </c>
      <c r="C350" s="2" t="s">
        <v>41</v>
      </c>
      <c r="D350" s="2" t="s">
        <v>42</v>
      </c>
      <c r="E350" s="2" t="s">
        <v>26</v>
      </c>
      <c r="F350" s="4" t="str">
        <f aca="false">INDEX(Products!$B$2:$B$9,MATCH(E350,Products!$A$2:$A$9,0))</f>
        <v>Analytics Basic</v>
      </c>
      <c r="G350" s="4" t="str">
        <f aca="false">INDEX(Products!$C$2:$C$9,MATCH(E350,Products!$A$2:$A$9,0))</f>
        <v>Software</v>
      </c>
      <c r="H350" s="5" t="n">
        <v>1</v>
      </c>
      <c r="I350" s="6" t="n">
        <f aca="false">INDEX(Products!$D$2:$D$9,MATCH(E350,Products!$A$2:$A$9,0))</f>
        <v>120</v>
      </c>
      <c r="J350" s="7" t="n">
        <v>0.05</v>
      </c>
      <c r="K350" s="8" t="n">
        <f aca="false">H350*I350*(1-J350)</f>
        <v>114</v>
      </c>
      <c r="L350" s="6" t="n">
        <f aca="false">H350*INDEX(Products!$E$2:$E$9,MATCH(E350,Products!$A$2:$A$9,0))</f>
        <v>18</v>
      </c>
      <c r="M350" s="8" t="n">
        <f aca="false">K350-L350</f>
        <v>96</v>
      </c>
      <c r="N350" s="2" t="s">
        <v>38</v>
      </c>
      <c r="O350" s="2" t="s">
        <v>52</v>
      </c>
    </row>
    <row r="351" customFormat="false" ht="15" hidden="false" customHeight="false" outlineLevel="0" collapsed="false">
      <c r="A351" s="2" t="s">
        <v>405</v>
      </c>
      <c r="B351" s="3" t="n">
        <v>45800</v>
      </c>
      <c r="C351" s="2" t="s">
        <v>47</v>
      </c>
      <c r="D351" s="2" t="s">
        <v>48</v>
      </c>
      <c r="E351" s="2" t="s">
        <v>49</v>
      </c>
      <c r="F351" s="4" t="str">
        <f aca="false">INDEX(Products!$B$2:$B$9,MATCH(E351,Products!$A$2:$A$9,0))</f>
        <v>Mounting Kit</v>
      </c>
      <c r="G351" s="4" t="str">
        <f aca="false">INDEX(Products!$C$2:$C$9,MATCH(E351,Products!$A$2:$A$9,0))</f>
        <v>Accessories</v>
      </c>
      <c r="H351" s="5" t="n">
        <v>1</v>
      </c>
      <c r="I351" s="6" t="n">
        <f aca="false">INDEX(Products!$D$2:$D$9,MATCH(E351,Products!$A$2:$A$9,0))</f>
        <v>39</v>
      </c>
      <c r="J351" s="7" t="n">
        <v>0.2</v>
      </c>
      <c r="K351" s="8" t="n">
        <f aca="false">H351*I351*(1-J351)</f>
        <v>31.2</v>
      </c>
      <c r="L351" s="6" t="n">
        <f aca="false">H351*INDEX(Products!$E$2:$E$9,MATCH(E351,Products!$A$2:$A$9,0))</f>
        <v>31.5</v>
      </c>
      <c r="M351" s="8" t="n">
        <f aca="false">K351-L351</f>
        <v>-0.299999999999997</v>
      </c>
      <c r="N351" s="2" t="s">
        <v>19</v>
      </c>
      <c r="O351" s="2" t="s">
        <v>50</v>
      </c>
    </row>
    <row r="352" customFormat="false" ht="15" hidden="false" customHeight="false" outlineLevel="0" collapsed="false">
      <c r="A352" s="2" t="s">
        <v>406</v>
      </c>
      <c r="B352" s="3" t="n">
        <v>45803</v>
      </c>
      <c r="C352" s="2" t="s">
        <v>47</v>
      </c>
      <c r="D352" s="2" t="s">
        <v>157</v>
      </c>
      <c r="E352" s="2" t="s">
        <v>26</v>
      </c>
      <c r="F352" s="4" t="str">
        <f aca="false">INDEX(Products!$B$2:$B$9,MATCH(E352,Products!$A$2:$A$9,0))</f>
        <v>Analytics Basic</v>
      </c>
      <c r="G352" s="4" t="str">
        <f aca="false">INDEX(Products!$C$2:$C$9,MATCH(E352,Products!$A$2:$A$9,0))</f>
        <v>Software</v>
      </c>
      <c r="H352" s="5" t="n">
        <v>5</v>
      </c>
      <c r="I352" s="6" t="n">
        <f aca="false">INDEX(Products!$D$2:$D$9,MATCH(E352,Products!$A$2:$A$9,0))</f>
        <v>120</v>
      </c>
      <c r="J352" s="7" t="n">
        <v>0</v>
      </c>
      <c r="K352" s="8" t="n">
        <f aca="false">H352*I352*(1-J352)</f>
        <v>600</v>
      </c>
      <c r="L352" s="6" t="n">
        <f aca="false">H352*INDEX(Products!$E$2:$E$9,MATCH(E352,Products!$A$2:$A$9,0))</f>
        <v>90</v>
      </c>
      <c r="M352" s="8" t="n">
        <f aca="false">K352-L352</f>
        <v>510</v>
      </c>
      <c r="N352" s="2" t="s">
        <v>28</v>
      </c>
      <c r="O352" s="2" t="s">
        <v>72</v>
      </c>
    </row>
    <row r="353" customFormat="false" ht="15" hidden="false" customHeight="false" outlineLevel="0" collapsed="false">
      <c r="A353" s="2" t="s">
        <v>407</v>
      </c>
      <c r="B353" s="3" t="n">
        <v>45803</v>
      </c>
      <c r="C353" s="2" t="s">
        <v>30</v>
      </c>
      <c r="D353" s="2" t="s">
        <v>31</v>
      </c>
      <c r="E353" s="2" t="s">
        <v>23</v>
      </c>
      <c r="F353" s="4" t="str">
        <f aca="false">INDEX(Products!$B$2:$B$9,MATCH(E353,Products!$A$2:$A$9,0))</f>
        <v>Sensor Hub S</v>
      </c>
      <c r="G353" s="4" t="str">
        <f aca="false">INDEX(Products!$C$2:$C$9,MATCH(E353,Products!$A$2:$A$9,0))</f>
        <v>Hardware</v>
      </c>
      <c r="H353" s="5" t="n">
        <v>4</v>
      </c>
      <c r="I353" s="6" t="n">
        <f aca="false">INDEX(Products!$D$2:$D$9,MATCH(E353,Products!$A$2:$A$9,0))</f>
        <v>189</v>
      </c>
      <c r="J353" s="7" t="n">
        <v>0.2</v>
      </c>
      <c r="K353" s="8" t="n">
        <f aca="false">H353*I353*(1-J353)</f>
        <v>604.8</v>
      </c>
      <c r="L353" s="6" t="n">
        <f aca="false">H353*INDEX(Products!$E$2:$E$9,MATCH(E353,Products!$A$2:$A$9,0))</f>
        <v>392</v>
      </c>
      <c r="M353" s="8" t="n">
        <f aca="false">K353-L353</f>
        <v>212.8</v>
      </c>
      <c r="N353" s="2" t="s">
        <v>19</v>
      </c>
      <c r="O353" s="2" t="s">
        <v>64</v>
      </c>
    </row>
    <row r="354" customFormat="false" ht="15" hidden="false" customHeight="false" outlineLevel="0" collapsed="false">
      <c r="A354" s="2" t="s">
        <v>408</v>
      </c>
      <c r="B354" s="3" t="n">
        <v>45803</v>
      </c>
      <c r="C354" s="2" t="s">
        <v>47</v>
      </c>
      <c r="D354" s="2" t="s">
        <v>48</v>
      </c>
      <c r="E354" s="2" t="s">
        <v>26</v>
      </c>
      <c r="F354" s="4" t="str">
        <f aca="false">INDEX(Products!$B$2:$B$9,MATCH(E354,Products!$A$2:$A$9,0))</f>
        <v>Analytics Basic</v>
      </c>
      <c r="G354" s="4" t="str">
        <f aca="false">INDEX(Products!$C$2:$C$9,MATCH(E354,Products!$A$2:$A$9,0))</f>
        <v>Software</v>
      </c>
      <c r="H354" s="5" t="n">
        <v>1</v>
      </c>
      <c r="I354" s="6" t="n">
        <f aca="false">INDEX(Products!$D$2:$D$9,MATCH(E354,Products!$A$2:$A$9,0))</f>
        <v>120</v>
      </c>
      <c r="J354" s="7" t="n">
        <v>0.15</v>
      </c>
      <c r="K354" s="8" t="n">
        <f aca="false">H354*I354*(1-J354)</f>
        <v>102</v>
      </c>
      <c r="L354" s="6" t="n">
        <f aca="false">H354*INDEX(Products!$E$2:$E$9,MATCH(E354,Products!$A$2:$A$9,0))</f>
        <v>18</v>
      </c>
      <c r="M354" s="8" t="n">
        <f aca="false">K354-L354</f>
        <v>84</v>
      </c>
      <c r="N354" s="2" t="s">
        <v>19</v>
      </c>
      <c r="O354" s="2" t="s">
        <v>50</v>
      </c>
    </row>
    <row r="355" customFormat="false" ht="15" hidden="false" customHeight="false" outlineLevel="0" collapsed="false">
      <c r="A355" s="2" t="s">
        <v>409</v>
      </c>
      <c r="B355" s="3" t="n">
        <v>45803</v>
      </c>
      <c r="C355" s="2" t="s">
        <v>41</v>
      </c>
      <c r="D355" s="2" t="s">
        <v>42</v>
      </c>
      <c r="E355" s="2" t="s">
        <v>23</v>
      </c>
      <c r="F355" s="4" t="str">
        <f aca="false">INDEX(Products!$B$2:$B$9,MATCH(E355,Products!$A$2:$A$9,0))</f>
        <v>Sensor Hub S</v>
      </c>
      <c r="G355" s="4" t="str">
        <f aca="false">INDEX(Products!$C$2:$C$9,MATCH(E355,Products!$A$2:$A$9,0))</f>
        <v>Hardware</v>
      </c>
      <c r="H355" s="5" t="n">
        <v>20</v>
      </c>
      <c r="I355" s="6" t="n">
        <f aca="false">INDEX(Products!$D$2:$D$9,MATCH(E355,Products!$A$2:$A$9,0))</f>
        <v>189</v>
      </c>
      <c r="J355" s="7" t="n">
        <v>0</v>
      </c>
      <c r="K355" s="8" t="n">
        <f aca="false">H355*I355*(1-J355)</f>
        <v>3780</v>
      </c>
      <c r="L355" s="6" t="n">
        <f aca="false">H355*INDEX(Products!$E$2:$E$9,MATCH(E355,Products!$A$2:$A$9,0))</f>
        <v>1960</v>
      </c>
      <c r="M355" s="8" t="n">
        <f aca="false">K355-L355</f>
        <v>1820</v>
      </c>
      <c r="N355" s="2" t="s">
        <v>28</v>
      </c>
      <c r="O355" s="2" t="s">
        <v>52</v>
      </c>
    </row>
    <row r="356" customFormat="false" ht="15" hidden="false" customHeight="false" outlineLevel="0" collapsed="false">
      <c r="A356" s="2" t="s">
        <v>410</v>
      </c>
      <c r="B356" s="3" t="n">
        <v>45804</v>
      </c>
      <c r="C356" s="2" t="s">
        <v>41</v>
      </c>
      <c r="D356" s="2" t="s">
        <v>42</v>
      </c>
      <c r="E356" s="2" t="s">
        <v>18</v>
      </c>
      <c r="F356" s="4" t="str">
        <f aca="false">INDEX(Products!$B$2:$B$9,MATCH(E356,Products!$A$2:$A$9,0))</f>
        <v>Sensor Hub Pro</v>
      </c>
      <c r="G356" s="4" t="str">
        <f aca="false">INDEX(Products!$C$2:$C$9,MATCH(E356,Products!$A$2:$A$9,0))</f>
        <v>Hardware</v>
      </c>
      <c r="H356" s="5" t="n">
        <v>1</v>
      </c>
      <c r="I356" s="6" t="n">
        <f aca="false">INDEX(Products!$D$2:$D$9,MATCH(E356,Products!$A$2:$A$9,0))</f>
        <v>349</v>
      </c>
      <c r="J356" s="7" t="n">
        <v>0.25</v>
      </c>
      <c r="K356" s="8" t="n">
        <f aca="false">H356*I356*(1-J356)</f>
        <v>261.75</v>
      </c>
      <c r="L356" s="6" t="n">
        <f aca="false">H356*INDEX(Products!$E$2:$E$9,MATCH(E356,Products!$A$2:$A$9,0))</f>
        <v>201</v>
      </c>
      <c r="M356" s="8" t="n">
        <f aca="false">K356-L356</f>
        <v>60.75</v>
      </c>
      <c r="N356" s="2" t="s">
        <v>19</v>
      </c>
      <c r="O356" s="2" t="s">
        <v>52</v>
      </c>
    </row>
    <row r="357" customFormat="false" ht="15" hidden="false" customHeight="false" outlineLevel="0" collapsed="false">
      <c r="A357" s="2" t="s">
        <v>411</v>
      </c>
      <c r="B357" s="3" t="n">
        <v>45804</v>
      </c>
      <c r="C357" s="2" t="s">
        <v>47</v>
      </c>
      <c r="D357" s="2" t="s">
        <v>157</v>
      </c>
      <c r="E357" s="2" t="s">
        <v>26</v>
      </c>
      <c r="F357" s="4" t="str">
        <f aca="false">INDEX(Products!$B$2:$B$9,MATCH(E357,Products!$A$2:$A$9,0))</f>
        <v>Analytics Basic</v>
      </c>
      <c r="G357" s="4" t="str">
        <f aca="false">INDEX(Products!$C$2:$C$9,MATCH(E357,Products!$A$2:$A$9,0))</f>
        <v>Software</v>
      </c>
      <c r="H357" s="5" t="n">
        <v>1</v>
      </c>
      <c r="I357" s="6" t="n">
        <f aca="false">INDEX(Products!$D$2:$D$9,MATCH(E357,Products!$A$2:$A$9,0))</f>
        <v>120</v>
      </c>
      <c r="J357" s="7" t="n">
        <v>0.15</v>
      </c>
      <c r="K357" s="8" t="n">
        <f aca="false">H357*I357*(1-J357)</f>
        <v>102</v>
      </c>
      <c r="L357" s="6" t="n">
        <f aca="false">H357*INDEX(Products!$E$2:$E$9,MATCH(E357,Products!$A$2:$A$9,0))</f>
        <v>18</v>
      </c>
      <c r="M357" s="8" t="n">
        <f aca="false">K357-L357</f>
        <v>84</v>
      </c>
      <c r="N357" s="2" t="s">
        <v>19</v>
      </c>
      <c r="O357" s="2" t="s">
        <v>50</v>
      </c>
    </row>
    <row r="358" customFormat="false" ht="15" hidden="false" customHeight="false" outlineLevel="0" collapsed="false">
      <c r="A358" s="2" t="s">
        <v>412</v>
      </c>
      <c r="B358" s="3" t="n">
        <v>45804</v>
      </c>
      <c r="C358" s="2" t="s">
        <v>41</v>
      </c>
      <c r="D358" s="2" t="s">
        <v>42</v>
      </c>
      <c r="E358" s="2" t="s">
        <v>26</v>
      </c>
      <c r="F358" s="4" t="str">
        <f aca="false">INDEX(Products!$B$2:$B$9,MATCH(E358,Products!$A$2:$A$9,0))</f>
        <v>Analytics Basic</v>
      </c>
      <c r="G358" s="4" t="str">
        <f aca="false">INDEX(Products!$C$2:$C$9,MATCH(E358,Products!$A$2:$A$9,0))</f>
        <v>Software</v>
      </c>
      <c r="H358" s="5" t="n">
        <v>1</v>
      </c>
      <c r="I358" s="6" t="n">
        <f aca="false">INDEX(Products!$D$2:$D$9,MATCH(E358,Products!$A$2:$A$9,0))</f>
        <v>120</v>
      </c>
      <c r="J358" s="7" t="n">
        <v>0.05</v>
      </c>
      <c r="K358" s="8" t="n">
        <f aca="false">H358*I358*(1-J358)</f>
        <v>114</v>
      </c>
      <c r="L358" s="6" t="n">
        <f aca="false">H358*INDEX(Products!$E$2:$E$9,MATCH(E358,Products!$A$2:$A$9,0))</f>
        <v>18</v>
      </c>
      <c r="M358" s="8" t="n">
        <f aca="false">K358-L358</f>
        <v>96</v>
      </c>
      <c r="N358" s="2" t="s">
        <v>28</v>
      </c>
      <c r="O358" s="2" t="s">
        <v>52</v>
      </c>
    </row>
    <row r="359" customFormat="false" ht="15" hidden="false" customHeight="false" outlineLevel="0" collapsed="false">
      <c r="A359" s="2" t="s">
        <v>413</v>
      </c>
      <c r="B359" s="3" t="n">
        <v>45805</v>
      </c>
      <c r="C359" s="2" t="s">
        <v>30</v>
      </c>
      <c r="D359" s="2" t="s">
        <v>31</v>
      </c>
      <c r="E359" s="2" t="s">
        <v>32</v>
      </c>
      <c r="F359" s="4" t="str">
        <f aca="false">INDEX(Products!$B$2:$B$9,MATCH(E359,Products!$A$2:$A$9,0))</f>
        <v>Analytics Plus</v>
      </c>
      <c r="G359" s="4" t="str">
        <f aca="false">INDEX(Products!$C$2:$C$9,MATCH(E359,Products!$A$2:$A$9,0))</f>
        <v>Software</v>
      </c>
      <c r="H359" s="5" t="n">
        <v>5</v>
      </c>
      <c r="I359" s="6" t="n">
        <f aca="false">INDEX(Products!$D$2:$D$9,MATCH(E359,Products!$A$2:$A$9,0))</f>
        <v>290</v>
      </c>
      <c r="J359" s="7" t="n">
        <v>0</v>
      </c>
      <c r="K359" s="8" t="n">
        <f aca="false">H359*I359*(1-J359)</f>
        <v>1450</v>
      </c>
      <c r="L359" s="6" t="n">
        <f aca="false">H359*INDEX(Products!$E$2:$E$9,MATCH(E359,Products!$A$2:$A$9,0))</f>
        <v>205</v>
      </c>
      <c r="M359" s="8" t="n">
        <f aca="false">K359-L359</f>
        <v>1245</v>
      </c>
      <c r="N359" s="2" t="s">
        <v>28</v>
      </c>
      <c r="O359" s="2" t="s">
        <v>33</v>
      </c>
    </row>
    <row r="360" customFormat="false" ht="15" hidden="false" customHeight="false" outlineLevel="0" collapsed="false">
      <c r="A360" s="2" t="s">
        <v>414</v>
      </c>
      <c r="B360" s="3" t="n">
        <v>45805</v>
      </c>
      <c r="C360" s="2" t="s">
        <v>16</v>
      </c>
      <c r="D360" s="2" t="s">
        <v>22</v>
      </c>
      <c r="E360" s="2" t="s">
        <v>57</v>
      </c>
      <c r="F360" s="4" t="str">
        <f aca="false">INDEX(Products!$B$2:$B$9,MATCH(E360,Products!$A$2:$A$9,0))</f>
        <v>Edge Gateway</v>
      </c>
      <c r="G360" s="4" t="str">
        <f aca="false">INDEX(Products!$C$2:$C$9,MATCH(E360,Products!$A$2:$A$9,0))</f>
        <v>Hardware</v>
      </c>
      <c r="H360" s="5" t="n">
        <v>2</v>
      </c>
      <c r="I360" s="6" t="n">
        <f aca="false">INDEX(Products!$D$2:$D$9,MATCH(E360,Products!$A$2:$A$9,0))</f>
        <v>899</v>
      </c>
      <c r="J360" s="7" t="n">
        <v>0.15</v>
      </c>
      <c r="K360" s="8" t="n">
        <f aca="false">H360*I360*(1-J360)</f>
        <v>1528.3</v>
      </c>
      <c r="L360" s="6" t="n">
        <f aca="false">H360*INDEX(Products!$E$2:$E$9,MATCH(E360,Products!$A$2:$A$9,0))</f>
        <v>1224</v>
      </c>
      <c r="M360" s="8" t="n">
        <f aca="false">K360-L360</f>
        <v>304.3</v>
      </c>
      <c r="N360" s="2" t="s">
        <v>19</v>
      </c>
      <c r="O360" s="2" t="s">
        <v>20</v>
      </c>
    </row>
    <row r="361" customFormat="false" ht="15" hidden="false" customHeight="false" outlineLevel="0" collapsed="false">
      <c r="A361" s="2" t="s">
        <v>415</v>
      </c>
      <c r="B361" s="3" t="n">
        <v>45805</v>
      </c>
      <c r="C361" s="2" t="s">
        <v>47</v>
      </c>
      <c r="D361" s="2" t="s">
        <v>48</v>
      </c>
      <c r="E361" s="2" t="s">
        <v>26</v>
      </c>
      <c r="F361" s="4" t="str">
        <f aca="false">INDEX(Products!$B$2:$B$9,MATCH(E361,Products!$A$2:$A$9,0))</f>
        <v>Analytics Basic</v>
      </c>
      <c r="G361" s="4" t="str">
        <f aca="false">INDEX(Products!$C$2:$C$9,MATCH(E361,Products!$A$2:$A$9,0))</f>
        <v>Software</v>
      </c>
      <c r="H361" s="5" t="n">
        <v>3</v>
      </c>
      <c r="I361" s="6" t="n">
        <f aca="false">INDEX(Products!$D$2:$D$9,MATCH(E361,Products!$A$2:$A$9,0))</f>
        <v>120</v>
      </c>
      <c r="J361" s="7" t="n">
        <v>0.2</v>
      </c>
      <c r="K361" s="8" t="n">
        <f aca="false">H361*I361*(1-J361)</f>
        <v>288</v>
      </c>
      <c r="L361" s="6" t="n">
        <f aca="false">H361*INDEX(Products!$E$2:$E$9,MATCH(E361,Products!$A$2:$A$9,0))</f>
        <v>54</v>
      </c>
      <c r="M361" s="8" t="n">
        <f aca="false">K361-L361</f>
        <v>234</v>
      </c>
      <c r="N361" s="2" t="s">
        <v>19</v>
      </c>
      <c r="O361" s="2" t="s">
        <v>72</v>
      </c>
    </row>
    <row r="362" customFormat="false" ht="15" hidden="false" customHeight="false" outlineLevel="0" collapsed="false">
      <c r="A362" s="2" t="s">
        <v>416</v>
      </c>
      <c r="B362" s="3" t="n">
        <v>45806</v>
      </c>
      <c r="C362" s="2" t="s">
        <v>47</v>
      </c>
      <c r="D362" s="2" t="s">
        <v>71</v>
      </c>
      <c r="E362" s="2" t="s">
        <v>26</v>
      </c>
      <c r="F362" s="4" t="str">
        <f aca="false">INDEX(Products!$B$2:$B$9,MATCH(E362,Products!$A$2:$A$9,0))</f>
        <v>Analytics Basic</v>
      </c>
      <c r="G362" s="4" t="str">
        <f aca="false">INDEX(Products!$C$2:$C$9,MATCH(E362,Products!$A$2:$A$9,0))</f>
        <v>Software</v>
      </c>
      <c r="H362" s="5" t="n">
        <v>1</v>
      </c>
      <c r="I362" s="6" t="n">
        <f aca="false">INDEX(Products!$D$2:$D$9,MATCH(E362,Products!$A$2:$A$9,0))</f>
        <v>120</v>
      </c>
      <c r="J362" s="7" t="n">
        <v>0</v>
      </c>
      <c r="K362" s="8" t="n">
        <f aca="false">H362*I362*(1-J362)</f>
        <v>120</v>
      </c>
      <c r="L362" s="6" t="n">
        <f aca="false">H362*INDEX(Products!$E$2:$E$9,MATCH(E362,Products!$A$2:$A$9,0))</f>
        <v>18</v>
      </c>
      <c r="M362" s="8" t="n">
        <f aca="false">K362-L362</f>
        <v>102</v>
      </c>
      <c r="N362" s="2" t="s">
        <v>38</v>
      </c>
      <c r="O362" s="2" t="s">
        <v>72</v>
      </c>
    </row>
    <row r="363" customFormat="false" ht="15" hidden="false" customHeight="false" outlineLevel="0" collapsed="false">
      <c r="A363" s="2" t="s">
        <v>417</v>
      </c>
      <c r="B363" s="3" t="n">
        <v>45806</v>
      </c>
      <c r="C363" s="2" t="s">
        <v>16</v>
      </c>
      <c r="D363" s="2" t="s">
        <v>25</v>
      </c>
      <c r="E363" s="2" t="s">
        <v>57</v>
      </c>
      <c r="F363" s="4" t="str">
        <f aca="false">INDEX(Products!$B$2:$B$9,MATCH(E363,Products!$A$2:$A$9,0))</f>
        <v>Edge Gateway</v>
      </c>
      <c r="G363" s="4" t="str">
        <f aca="false">INDEX(Products!$C$2:$C$9,MATCH(E363,Products!$A$2:$A$9,0))</f>
        <v>Hardware</v>
      </c>
      <c r="H363" s="5" t="n">
        <v>10</v>
      </c>
      <c r="I363" s="6" t="n">
        <f aca="false">INDEX(Products!$D$2:$D$9,MATCH(E363,Products!$A$2:$A$9,0))</f>
        <v>899</v>
      </c>
      <c r="J363" s="7" t="n">
        <v>0.15</v>
      </c>
      <c r="K363" s="8" t="n">
        <f aca="false">H363*I363*(1-J363)</f>
        <v>7641.5</v>
      </c>
      <c r="L363" s="6" t="n">
        <f aca="false">H363*INDEX(Products!$E$2:$E$9,MATCH(E363,Products!$A$2:$A$9,0))</f>
        <v>6120</v>
      </c>
      <c r="M363" s="8" t="n">
        <f aca="false">K363-L363</f>
        <v>1521.5</v>
      </c>
      <c r="N363" s="2" t="s">
        <v>19</v>
      </c>
      <c r="O363" s="2" t="s">
        <v>20</v>
      </c>
    </row>
    <row r="364" customFormat="false" ht="15" hidden="false" customHeight="false" outlineLevel="0" collapsed="false">
      <c r="A364" s="2" t="s">
        <v>418</v>
      </c>
      <c r="B364" s="3" t="n">
        <v>45806</v>
      </c>
      <c r="C364" s="2" t="s">
        <v>47</v>
      </c>
      <c r="D364" s="2" t="s">
        <v>55</v>
      </c>
      <c r="E364" s="2" t="s">
        <v>68</v>
      </c>
      <c r="F364" s="4" t="str">
        <f aca="false">INDEX(Products!$B$2:$B$9,MATCH(E364,Products!$A$2:$A$9,0))</f>
        <v>Premium Support</v>
      </c>
      <c r="G364" s="4" t="str">
        <f aca="false">INDEX(Products!$C$2:$C$9,MATCH(E364,Products!$A$2:$A$9,0))</f>
        <v>Services</v>
      </c>
      <c r="H364" s="5" t="n">
        <v>2</v>
      </c>
      <c r="I364" s="6" t="n">
        <f aca="false">INDEX(Products!$D$2:$D$9,MATCH(E364,Products!$A$2:$A$9,0))</f>
        <v>600</v>
      </c>
      <c r="J364" s="7" t="n">
        <v>0.05</v>
      </c>
      <c r="K364" s="8" t="n">
        <f aca="false">H364*I364*(1-J364)</f>
        <v>1140</v>
      </c>
      <c r="L364" s="6" t="n">
        <f aca="false">H364*INDEX(Products!$E$2:$E$9,MATCH(E364,Products!$A$2:$A$9,0))</f>
        <v>790</v>
      </c>
      <c r="M364" s="8" t="n">
        <f aca="false">K364-L364</f>
        <v>350</v>
      </c>
      <c r="N364" s="2" t="s">
        <v>28</v>
      </c>
      <c r="O364" s="2" t="s">
        <v>72</v>
      </c>
    </row>
    <row r="365" customFormat="false" ht="15" hidden="false" customHeight="false" outlineLevel="0" collapsed="false">
      <c r="A365" s="2" t="s">
        <v>419</v>
      </c>
      <c r="B365" s="3" t="n">
        <v>45807</v>
      </c>
      <c r="C365" s="2" t="s">
        <v>16</v>
      </c>
      <c r="D365" s="2" t="s">
        <v>25</v>
      </c>
      <c r="E365" s="2" t="s">
        <v>18</v>
      </c>
      <c r="F365" s="4" t="str">
        <f aca="false">INDEX(Products!$B$2:$B$9,MATCH(E365,Products!$A$2:$A$9,0))</f>
        <v>Sensor Hub Pro</v>
      </c>
      <c r="G365" s="4" t="str">
        <f aca="false">INDEX(Products!$C$2:$C$9,MATCH(E365,Products!$A$2:$A$9,0))</f>
        <v>Hardware</v>
      </c>
      <c r="H365" s="5" t="n">
        <v>10</v>
      </c>
      <c r="I365" s="6" t="n">
        <f aca="false">INDEX(Products!$D$2:$D$9,MATCH(E365,Products!$A$2:$A$9,0))</f>
        <v>349</v>
      </c>
      <c r="J365" s="7" t="n">
        <v>0.15</v>
      </c>
      <c r="K365" s="8" t="n">
        <f aca="false">H365*I365*(1-J365)</f>
        <v>2966.5</v>
      </c>
      <c r="L365" s="6" t="n">
        <f aca="false">H365*INDEX(Products!$E$2:$E$9,MATCH(E365,Products!$A$2:$A$9,0))</f>
        <v>2010</v>
      </c>
      <c r="M365" s="8" t="n">
        <f aca="false">K365-L365</f>
        <v>956.5</v>
      </c>
      <c r="N365" s="2" t="s">
        <v>28</v>
      </c>
      <c r="O365" s="2" t="s">
        <v>20</v>
      </c>
    </row>
    <row r="366" customFormat="false" ht="15" hidden="false" customHeight="false" outlineLevel="0" collapsed="false">
      <c r="A366" s="2" t="s">
        <v>420</v>
      </c>
      <c r="B366" s="3" t="n">
        <v>45807</v>
      </c>
      <c r="C366" s="2" t="s">
        <v>47</v>
      </c>
      <c r="D366" s="2" t="s">
        <v>157</v>
      </c>
      <c r="E366" s="2" t="s">
        <v>23</v>
      </c>
      <c r="F366" s="4" t="str">
        <f aca="false">INDEX(Products!$B$2:$B$9,MATCH(E366,Products!$A$2:$A$9,0))</f>
        <v>Sensor Hub S</v>
      </c>
      <c r="G366" s="4" t="str">
        <f aca="false">INDEX(Products!$C$2:$C$9,MATCH(E366,Products!$A$2:$A$9,0))</f>
        <v>Hardware</v>
      </c>
      <c r="H366" s="5" t="n">
        <v>1</v>
      </c>
      <c r="I366" s="6" t="n">
        <f aca="false">INDEX(Products!$D$2:$D$9,MATCH(E366,Products!$A$2:$A$9,0))</f>
        <v>189</v>
      </c>
      <c r="J366" s="7" t="n">
        <v>0.05</v>
      </c>
      <c r="K366" s="8" t="n">
        <f aca="false">H366*I366*(1-J366)</f>
        <v>179.55</v>
      </c>
      <c r="L366" s="6" t="n">
        <f aca="false">H366*INDEX(Products!$E$2:$E$9,MATCH(E366,Products!$A$2:$A$9,0))</f>
        <v>98</v>
      </c>
      <c r="M366" s="8" t="n">
        <f aca="false">K366-L366</f>
        <v>81.55</v>
      </c>
      <c r="N366" s="2" t="s">
        <v>28</v>
      </c>
      <c r="O366" s="2" t="s">
        <v>72</v>
      </c>
    </row>
    <row r="367" customFormat="false" ht="15" hidden="false" customHeight="false" outlineLevel="0" collapsed="false">
      <c r="A367" s="2" t="s">
        <v>421</v>
      </c>
      <c r="B367" s="3" t="n">
        <v>45807</v>
      </c>
      <c r="C367" s="2" t="s">
        <v>41</v>
      </c>
      <c r="D367" s="2" t="s">
        <v>42</v>
      </c>
      <c r="E367" s="2" t="s">
        <v>26</v>
      </c>
      <c r="F367" s="4" t="str">
        <f aca="false">INDEX(Products!$B$2:$B$9,MATCH(E367,Products!$A$2:$A$9,0))</f>
        <v>Analytics Basic</v>
      </c>
      <c r="G367" s="4" t="str">
        <f aca="false">INDEX(Products!$C$2:$C$9,MATCH(E367,Products!$A$2:$A$9,0))</f>
        <v>Software</v>
      </c>
      <c r="H367" s="5" t="n">
        <v>1</v>
      </c>
      <c r="I367" s="6" t="n">
        <f aca="false">INDEX(Products!$D$2:$D$9,MATCH(E367,Products!$A$2:$A$9,0))</f>
        <v>120</v>
      </c>
      <c r="J367" s="7" t="n">
        <v>0</v>
      </c>
      <c r="K367" s="8" t="n">
        <f aca="false">H367*I367*(1-J367)</f>
        <v>120</v>
      </c>
      <c r="L367" s="6" t="n">
        <f aca="false">H367*INDEX(Products!$E$2:$E$9,MATCH(E367,Products!$A$2:$A$9,0))</f>
        <v>18</v>
      </c>
      <c r="M367" s="8" t="n">
        <f aca="false">K367-L367</f>
        <v>102</v>
      </c>
      <c r="N367" s="2" t="s">
        <v>38</v>
      </c>
      <c r="O367" s="2" t="s">
        <v>52</v>
      </c>
    </row>
    <row r="368" customFormat="false" ht="15" hidden="false" customHeight="false" outlineLevel="0" collapsed="false">
      <c r="A368" s="2" t="s">
        <v>422</v>
      </c>
      <c r="B368" s="3" t="n">
        <v>45808</v>
      </c>
      <c r="C368" s="2" t="s">
        <v>30</v>
      </c>
      <c r="D368" s="2" t="s">
        <v>31</v>
      </c>
      <c r="E368" s="2" t="s">
        <v>23</v>
      </c>
      <c r="F368" s="4" t="str">
        <f aca="false">INDEX(Products!$B$2:$B$9,MATCH(E368,Products!$A$2:$A$9,0))</f>
        <v>Sensor Hub S</v>
      </c>
      <c r="G368" s="4" t="str">
        <f aca="false">INDEX(Products!$C$2:$C$9,MATCH(E368,Products!$A$2:$A$9,0))</f>
        <v>Hardware</v>
      </c>
      <c r="H368" s="5" t="n">
        <v>1</v>
      </c>
      <c r="I368" s="6" t="n">
        <f aca="false">INDEX(Products!$D$2:$D$9,MATCH(E368,Products!$A$2:$A$9,0))</f>
        <v>189</v>
      </c>
      <c r="J368" s="7" t="n">
        <v>0.1</v>
      </c>
      <c r="K368" s="8" t="n">
        <f aca="false">H368*I368*(1-J368)</f>
        <v>170.1</v>
      </c>
      <c r="L368" s="6" t="n">
        <f aca="false">H368*INDEX(Products!$E$2:$E$9,MATCH(E368,Products!$A$2:$A$9,0))</f>
        <v>98</v>
      </c>
      <c r="M368" s="8" t="n">
        <f aca="false">K368-L368</f>
        <v>72.1</v>
      </c>
      <c r="N368" s="2" t="s">
        <v>19</v>
      </c>
      <c r="O368" s="2" t="s">
        <v>33</v>
      </c>
    </row>
    <row r="369" customFormat="false" ht="15" hidden="false" customHeight="false" outlineLevel="0" collapsed="false">
      <c r="A369" s="2" t="s">
        <v>423</v>
      </c>
      <c r="B369" s="3" t="n">
        <v>45810</v>
      </c>
      <c r="C369" s="2" t="s">
        <v>41</v>
      </c>
      <c r="D369" s="2" t="s">
        <v>66</v>
      </c>
      <c r="E369" s="2" t="s">
        <v>61</v>
      </c>
      <c r="F369" s="4" t="str">
        <f aca="false">INDEX(Products!$B$2:$B$9,MATCH(E369,Products!$A$2:$A$9,0))</f>
        <v>Install Service</v>
      </c>
      <c r="G369" s="4" t="str">
        <f aca="false">INDEX(Products!$C$2:$C$9,MATCH(E369,Products!$A$2:$A$9,0))</f>
        <v>Services</v>
      </c>
      <c r="H369" s="5" t="n">
        <v>1</v>
      </c>
      <c r="I369" s="6" t="n">
        <f aca="false">INDEX(Products!$D$2:$D$9,MATCH(E369,Products!$A$2:$A$9,0))</f>
        <v>450</v>
      </c>
      <c r="J369" s="7" t="n">
        <v>0.15</v>
      </c>
      <c r="K369" s="8" t="n">
        <f aca="false">H369*I369*(1-J369)</f>
        <v>382.5</v>
      </c>
      <c r="L369" s="6" t="n">
        <f aca="false">H369*INDEX(Products!$E$2:$E$9,MATCH(E369,Products!$A$2:$A$9,0))</f>
        <v>310</v>
      </c>
      <c r="M369" s="8" t="n">
        <f aca="false">K369-L369</f>
        <v>72.5</v>
      </c>
      <c r="N369" s="2" t="s">
        <v>19</v>
      </c>
      <c r="O369" s="2" t="s">
        <v>52</v>
      </c>
    </row>
    <row r="370" customFormat="false" ht="15" hidden="false" customHeight="false" outlineLevel="0" collapsed="false">
      <c r="A370" s="2" t="s">
        <v>424</v>
      </c>
      <c r="B370" s="3" t="n">
        <v>45810</v>
      </c>
      <c r="C370" s="2" t="s">
        <v>41</v>
      </c>
      <c r="D370" s="2" t="s">
        <v>42</v>
      </c>
      <c r="E370" s="2" t="s">
        <v>23</v>
      </c>
      <c r="F370" s="4" t="str">
        <f aca="false">INDEX(Products!$B$2:$B$9,MATCH(E370,Products!$A$2:$A$9,0))</f>
        <v>Sensor Hub S</v>
      </c>
      <c r="G370" s="4" t="str">
        <f aca="false">INDEX(Products!$C$2:$C$9,MATCH(E370,Products!$A$2:$A$9,0))</f>
        <v>Hardware</v>
      </c>
      <c r="H370" s="5" t="n">
        <v>3</v>
      </c>
      <c r="I370" s="6" t="n">
        <f aca="false">INDEX(Products!$D$2:$D$9,MATCH(E370,Products!$A$2:$A$9,0))</f>
        <v>189</v>
      </c>
      <c r="J370" s="7" t="n">
        <v>0</v>
      </c>
      <c r="K370" s="8" t="n">
        <f aca="false">H370*I370*(1-J370)</f>
        <v>567</v>
      </c>
      <c r="L370" s="6" t="n">
        <f aca="false">H370*INDEX(Products!$E$2:$E$9,MATCH(E370,Products!$A$2:$A$9,0))</f>
        <v>294</v>
      </c>
      <c r="M370" s="8" t="n">
        <f aca="false">K370-L370</f>
        <v>273</v>
      </c>
      <c r="N370" s="2" t="s">
        <v>28</v>
      </c>
      <c r="O370" s="2" t="s">
        <v>43</v>
      </c>
    </row>
    <row r="371" customFormat="false" ht="15" hidden="false" customHeight="false" outlineLevel="0" collapsed="false">
      <c r="A371" s="2" t="s">
        <v>425</v>
      </c>
      <c r="B371" s="3" t="n">
        <v>45810</v>
      </c>
      <c r="C371" s="2" t="s">
        <v>59</v>
      </c>
      <c r="D371" s="2" t="s">
        <v>60</v>
      </c>
      <c r="E371" s="2" t="s">
        <v>61</v>
      </c>
      <c r="F371" s="4" t="str">
        <f aca="false">INDEX(Products!$B$2:$B$9,MATCH(E371,Products!$A$2:$A$9,0))</f>
        <v>Install Service</v>
      </c>
      <c r="G371" s="4" t="str">
        <f aca="false">INDEX(Products!$C$2:$C$9,MATCH(E371,Products!$A$2:$A$9,0))</f>
        <v>Services</v>
      </c>
      <c r="H371" s="5" t="n">
        <v>1</v>
      </c>
      <c r="I371" s="6" t="n">
        <f aca="false">INDEX(Products!$D$2:$D$9,MATCH(E371,Products!$A$2:$A$9,0))</f>
        <v>450</v>
      </c>
      <c r="J371" s="7" t="n">
        <v>0.15</v>
      </c>
      <c r="K371" s="8" t="n">
        <f aca="false">H371*I371*(1-J371)</f>
        <v>382.5</v>
      </c>
      <c r="L371" s="6" t="n">
        <f aca="false">H371*INDEX(Products!$E$2:$E$9,MATCH(E371,Products!$A$2:$A$9,0))</f>
        <v>310</v>
      </c>
      <c r="M371" s="8" t="n">
        <f aca="false">K371-L371</f>
        <v>72.5</v>
      </c>
      <c r="N371" s="2" t="s">
        <v>38</v>
      </c>
      <c r="O371" s="2" t="s">
        <v>62</v>
      </c>
    </row>
    <row r="372" customFormat="false" ht="15" hidden="false" customHeight="false" outlineLevel="0" collapsed="false">
      <c r="A372" s="2" t="s">
        <v>426</v>
      </c>
      <c r="B372" s="3" t="n">
        <v>45811</v>
      </c>
      <c r="C372" s="2" t="s">
        <v>41</v>
      </c>
      <c r="D372" s="2" t="s">
        <v>42</v>
      </c>
      <c r="E372" s="2" t="s">
        <v>23</v>
      </c>
      <c r="F372" s="4" t="str">
        <f aca="false">INDEX(Products!$B$2:$B$9,MATCH(E372,Products!$A$2:$A$9,0))</f>
        <v>Sensor Hub S</v>
      </c>
      <c r="G372" s="4" t="str">
        <f aca="false">INDEX(Products!$C$2:$C$9,MATCH(E372,Products!$A$2:$A$9,0))</f>
        <v>Hardware</v>
      </c>
      <c r="H372" s="5" t="n">
        <v>2</v>
      </c>
      <c r="I372" s="6" t="n">
        <f aca="false">INDEX(Products!$D$2:$D$9,MATCH(E372,Products!$A$2:$A$9,0))</f>
        <v>189</v>
      </c>
      <c r="J372" s="7" t="n">
        <v>0.25</v>
      </c>
      <c r="K372" s="8" t="n">
        <f aca="false">H372*I372*(1-J372)</f>
        <v>283.5</v>
      </c>
      <c r="L372" s="6" t="n">
        <f aca="false">H372*INDEX(Products!$E$2:$E$9,MATCH(E372,Products!$A$2:$A$9,0))</f>
        <v>196</v>
      </c>
      <c r="M372" s="8" t="n">
        <f aca="false">K372-L372</f>
        <v>87.5</v>
      </c>
      <c r="N372" s="2" t="s">
        <v>19</v>
      </c>
      <c r="O372" s="2" t="s">
        <v>52</v>
      </c>
    </row>
    <row r="373" customFormat="false" ht="15" hidden="false" customHeight="false" outlineLevel="0" collapsed="false">
      <c r="A373" s="2" t="s">
        <v>427</v>
      </c>
      <c r="B373" s="3" t="n">
        <v>45811</v>
      </c>
      <c r="C373" s="2" t="s">
        <v>47</v>
      </c>
      <c r="D373" s="2" t="s">
        <v>71</v>
      </c>
      <c r="E373" s="2" t="s">
        <v>26</v>
      </c>
      <c r="F373" s="4" t="str">
        <f aca="false">INDEX(Products!$B$2:$B$9,MATCH(E373,Products!$A$2:$A$9,0))</f>
        <v>Analytics Basic</v>
      </c>
      <c r="G373" s="4" t="str">
        <f aca="false">INDEX(Products!$C$2:$C$9,MATCH(E373,Products!$A$2:$A$9,0))</f>
        <v>Software</v>
      </c>
      <c r="H373" s="5" t="n">
        <v>1</v>
      </c>
      <c r="I373" s="6" t="n">
        <f aca="false">INDEX(Products!$D$2:$D$9,MATCH(E373,Products!$A$2:$A$9,0))</f>
        <v>120</v>
      </c>
      <c r="J373" s="7" t="n">
        <v>0.15</v>
      </c>
      <c r="K373" s="8" t="n">
        <f aca="false">H373*I373*(1-J373)</f>
        <v>102</v>
      </c>
      <c r="L373" s="6" t="n">
        <f aca="false">H373*INDEX(Products!$E$2:$E$9,MATCH(E373,Products!$A$2:$A$9,0))</f>
        <v>18</v>
      </c>
      <c r="M373" s="8" t="n">
        <f aca="false">K373-L373</f>
        <v>84</v>
      </c>
      <c r="N373" s="2" t="s">
        <v>19</v>
      </c>
      <c r="O373" s="2" t="s">
        <v>72</v>
      </c>
    </row>
    <row r="374" customFormat="false" ht="15" hidden="false" customHeight="false" outlineLevel="0" collapsed="false">
      <c r="A374" s="2" t="s">
        <v>428</v>
      </c>
      <c r="B374" s="3" t="n">
        <v>45811</v>
      </c>
      <c r="C374" s="2" t="s">
        <v>41</v>
      </c>
      <c r="D374" s="2" t="s">
        <v>66</v>
      </c>
      <c r="E374" s="2" t="s">
        <v>49</v>
      </c>
      <c r="F374" s="4" t="str">
        <f aca="false">INDEX(Products!$B$2:$B$9,MATCH(E374,Products!$A$2:$A$9,0))</f>
        <v>Mounting Kit</v>
      </c>
      <c r="G374" s="4" t="str">
        <f aca="false">INDEX(Products!$C$2:$C$9,MATCH(E374,Products!$A$2:$A$9,0))</f>
        <v>Accessories</v>
      </c>
      <c r="H374" s="5" t="n">
        <v>1</v>
      </c>
      <c r="I374" s="6" t="n">
        <f aca="false">INDEX(Products!$D$2:$D$9,MATCH(E374,Products!$A$2:$A$9,0))</f>
        <v>39</v>
      </c>
      <c r="J374" s="7" t="n">
        <v>0.1</v>
      </c>
      <c r="K374" s="8" t="n">
        <f aca="false">H374*I374*(1-J374)</f>
        <v>35.1</v>
      </c>
      <c r="L374" s="6" t="n">
        <f aca="false">H374*INDEX(Products!$E$2:$E$9,MATCH(E374,Products!$A$2:$A$9,0))</f>
        <v>31.5</v>
      </c>
      <c r="M374" s="8" t="n">
        <f aca="false">K374-L374</f>
        <v>3.6</v>
      </c>
      <c r="N374" s="2" t="s">
        <v>28</v>
      </c>
      <c r="O374" s="2" t="s">
        <v>52</v>
      </c>
    </row>
    <row r="375" customFormat="false" ht="15" hidden="false" customHeight="false" outlineLevel="0" collapsed="false">
      <c r="A375" s="2" t="s">
        <v>429</v>
      </c>
      <c r="B375" s="3" t="n">
        <v>45812</v>
      </c>
      <c r="C375" s="2" t="s">
        <v>41</v>
      </c>
      <c r="D375" s="2" t="s">
        <v>66</v>
      </c>
      <c r="E375" s="2" t="s">
        <v>68</v>
      </c>
      <c r="F375" s="4" t="str">
        <f aca="false">INDEX(Products!$B$2:$B$9,MATCH(E375,Products!$A$2:$A$9,0))</f>
        <v>Premium Support</v>
      </c>
      <c r="G375" s="4" t="str">
        <f aca="false">INDEX(Products!$C$2:$C$9,MATCH(E375,Products!$A$2:$A$9,0))</f>
        <v>Services</v>
      </c>
      <c r="H375" s="5" t="n">
        <v>5</v>
      </c>
      <c r="I375" s="6" t="n">
        <f aca="false">INDEX(Products!$D$2:$D$9,MATCH(E375,Products!$A$2:$A$9,0))</f>
        <v>600</v>
      </c>
      <c r="J375" s="7" t="n">
        <v>0.05</v>
      </c>
      <c r="K375" s="8" t="n">
        <f aca="false">H375*I375*(1-J375)</f>
        <v>2850</v>
      </c>
      <c r="L375" s="6" t="n">
        <f aca="false">H375*INDEX(Products!$E$2:$E$9,MATCH(E375,Products!$A$2:$A$9,0))</f>
        <v>1975</v>
      </c>
      <c r="M375" s="8" t="n">
        <f aca="false">K375-L375</f>
        <v>875</v>
      </c>
      <c r="N375" s="2" t="s">
        <v>28</v>
      </c>
      <c r="O375" s="2" t="s">
        <v>43</v>
      </c>
    </row>
    <row r="376" customFormat="false" ht="15" hidden="false" customHeight="false" outlineLevel="0" collapsed="false">
      <c r="A376" s="2" t="s">
        <v>430</v>
      </c>
      <c r="B376" s="3" t="n">
        <v>45812</v>
      </c>
      <c r="C376" s="2" t="s">
        <v>30</v>
      </c>
      <c r="D376" s="2" t="s">
        <v>77</v>
      </c>
      <c r="E376" s="2" t="s">
        <v>57</v>
      </c>
      <c r="F376" s="4" t="str">
        <f aca="false">INDEX(Products!$B$2:$B$9,MATCH(E376,Products!$A$2:$A$9,0))</f>
        <v>Edge Gateway</v>
      </c>
      <c r="G376" s="4" t="str">
        <f aca="false">INDEX(Products!$C$2:$C$9,MATCH(E376,Products!$A$2:$A$9,0))</f>
        <v>Hardware</v>
      </c>
      <c r="H376" s="5" t="n">
        <v>5</v>
      </c>
      <c r="I376" s="6" t="n">
        <f aca="false">INDEX(Products!$D$2:$D$9,MATCH(E376,Products!$A$2:$A$9,0))</f>
        <v>899</v>
      </c>
      <c r="J376" s="7" t="n">
        <v>0.25</v>
      </c>
      <c r="K376" s="8" t="n">
        <f aca="false">H376*I376*(1-J376)</f>
        <v>3371.25</v>
      </c>
      <c r="L376" s="6" t="n">
        <f aca="false">H376*INDEX(Products!$E$2:$E$9,MATCH(E376,Products!$A$2:$A$9,0))</f>
        <v>3060</v>
      </c>
      <c r="M376" s="8" t="n">
        <f aca="false">K376-L376</f>
        <v>311.25</v>
      </c>
      <c r="N376" s="2" t="s">
        <v>19</v>
      </c>
      <c r="O376" s="2" t="s">
        <v>33</v>
      </c>
    </row>
    <row r="377" customFormat="false" ht="15" hidden="false" customHeight="false" outlineLevel="0" collapsed="false">
      <c r="A377" s="2" t="s">
        <v>431</v>
      </c>
      <c r="B377" s="3" t="n">
        <v>45813</v>
      </c>
      <c r="C377" s="2" t="s">
        <v>30</v>
      </c>
      <c r="D377" s="2" t="s">
        <v>77</v>
      </c>
      <c r="E377" s="2" t="s">
        <v>18</v>
      </c>
      <c r="F377" s="4" t="str">
        <f aca="false">INDEX(Products!$B$2:$B$9,MATCH(E377,Products!$A$2:$A$9,0))</f>
        <v>Sensor Hub Pro</v>
      </c>
      <c r="G377" s="4" t="str">
        <f aca="false">INDEX(Products!$C$2:$C$9,MATCH(E377,Products!$A$2:$A$9,0))</f>
        <v>Hardware</v>
      </c>
      <c r="H377" s="5" t="n">
        <v>12</v>
      </c>
      <c r="I377" s="6" t="n">
        <f aca="false">INDEX(Products!$D$2:$D$9,MATCH(E377,Products!$A$2:$A$9,0))</f>
        <v>349</v>
      </c>
      <c r="J377" s="7" t="n">
        <v>0.15</v>
      </c>
      <c r="K377" s="8" t="n">
        <f aca="false">H377*I377*(1-J377)</f>
        <v>3559.8</v>
      </c>
      <c r="L377" s="6" t="n">
        <f aca="false">H377*INDEX(Products!$E$2:$E$9,MATCH(E377,Products!$A$2:$A$9,0))</f>
        <v>2412</v>
      </c>
      <c r="M377" s="8" t="n">
        <f aca="false">K377-L377</f>
        <v>1147.8</v>
      </c>
      <c r="N377" s="2" t="s">
        <v>28</v>
      </c>
      <c r="O377" s="2" t="s">
        <v>33</v>
      </c>
    </row>
    <row r="378" customFormat="false" ht="15" hidden="false" customHeight="false" outlineLevel="0" collapsed="false">
      <c r="A378" s="2" t="s">
        <v>432</v>
      </c>
      <c r="B378" s="3" t="n">
        <v>45813</v>
      </c>
      <c r="C378" s="2" t="s">
        <v>30</v>
      </c>
      <c r="D378" s="2" t="s">
        <v>77</v>
      </c>
      <c r="E378" s="2" t="s">
        <v>61</v>
      </c>
      <c r="F378" s="4" t="str">
        <f aca="false">INDEX(Products!$B$2:$B$9,MATCH(E378,Products!$A$2:$A$9,0))</f>
        <v>Install Service</v>
      </c>
      <c r="G378" s="4" t="str">
        <f aca="false">INDEX(Products!$C$2:$C$9,MATCH(E378,Products!$A$2:$A$9,0))</f>
        <v>Services</v>
      </c>
      <c r="H378" s="5" t="n">
        <v>1</v>
      </c>
      <c r="I378" s="6" t="n">
        <f aca="false">INDEX(Products!$D$2:$D$9,MATCH(E378,Products!$A$2:$A$9,0))</f>
        <v>450</v>
      </c>
      <c r="J378" s="7" t="n">
        <v>0.15</v>
      </c>
      <c r="K378" s="8" t="n">
        <f aca="false">H378*I378*(1-J378)</f>
        <v>382.5</v>
      </c>
      <c r="L378" s="6" t="n">
        <f aca="false">H378*INDEX(Products!$E$2:$E$9,MATCH(E378,Products!$A$2:$A$9,0))</f>
        <v>310</v>
      </c>
      <c r="M378" s="8" t="n">
        <f aca="false">K378-L378</f>
        <v>72.5</v>
      </c>
      <c r="N378" s="2" t="s">
        <v>28</v>
      </c>
      <c r="O378" s="2" t="s">
        <v>64</v>
      </c>
    </row>
    <row r="379" customFormat="false" ht="15" hidden="false" customHeight="false" outlineLevel="0" collapsed="false">
      <c r="A379" s="2" t="s">
        <v>433</v>
      </c>
      <c r="B379" s="3" t="n">
        <v>45813</v>
      </c>
      <c r="C379" s="2" t="s">
        <v>16</v>
      </c>
      <c r="D379" s="2" t="s">
        <v>22</v>
      </c>
      <c r="E379" s="2" t="s">
        <v>68</v>
      </c>
      <c r="F379" s="4" t="str">
        <f aca="false">INDEX(Products!$B$2:$B$9,MATCH(E379,Products!$A$2:$A$9,0))</f>
        <v>Premium Support</v>
      </c>
      <c r="G379" s="4" t="str">
        <f aca="false">INDEX(Products!$C$2:$C$9,MATCH(E379,Products!$A$2:$A$9,0))</f>
        <v>Services</v>
      </c>
      <c r="H379" s="5" t="n">
        <v>2</v>
      </c>
      <c r="I379" s="6" t="n">
        <f aca="false">INDEX(Products!$D$2:$D$9,MATCH(E379,Products!$A$2:$A$9,0))</f>
        <v>600</v>
      </c>
      <c r="J379" s="7" t="n">
        <v>0.05</v>
      </c>
      <c r="K379" s="8" t="n">
        <f aca="false">H379*I379*(1-J379)</f>
        <v>1140</v>
      </c>
      <c r="L379" s="6" t="n">
        <f aca="false">H379*INDEX(Products!$E$2:$E$9,MATCH(E379,Products!$A$2:$A$9,0))</f>
        <v>790</v>
      </c>
      <c r="M379" s="8" t="n">
        <f aca="false">K379-L379</f>
        <v>350</v>
      </c>
      <c r="N379" s="2" t="s">
        <v>28</v>
      </c>
      <c r="O379" s="2" t="s">
        <v>36</v>
      </c>
    </row>
    <row r="380" customFormat="false" ht="15" hidden="false" customHeight="false" outlineLevel="0" collapsed="false">
      <c r="A380" s="2" t="s">
        <v>434</v>
      </c>
      <c r="B380" s="3" t="n">
        <v>45813</v>
      </c>
      <c r="C380" s="2" t="s">
        <v>30</v>
      </c>
      <c r="D380" s="2" t="s">
        <v>77</v>
      </c>
      <c r="E380" s="2" t="s">
        <v>18</v>
      </c>
      <c r="F380" s="4" t="str">
        <f aca="false">INDEX(Products!$B$2:$B$9,MATCH(E380,Products!$A$2:$A$9,0))</f>
        <v>Sensor Hub Pro</v>
      </c>
      <c r="G380" s="4" t="str">
        <f aca="false">INDEX(Products!$C$2:$C$9,MATCH(E380,Products!$A$2:$A$9,0))</f>
        <v>Hardware</v>
      </c>
      <c r="H380" s="5" t="n">
        <v>3</v>
      </c>
      <c r="I380" s="6" t="n">
        <f aca="false">INDEX(Products!$D$2:$D$9,MATCH(E380,Products!$A$2:$A$9,0))</f>
        <v>349</v>
      </c>
      <c r="J380" s="7" t="n">
        <v>0</v>
      </c>
      <c r="K380" s="8" t="n">
        <f aca="false">H380*I380*(1-J380)</f>
        <v>1047</v>
      </c>
      <c r="L380" s="6" t="n">
        <f aca="false">H380*INDEX(Products!$E$2:$E$9,MATCH(E380,Products!$A$2:$A$9,0))</f>
        <v>603</v>
      </c>
      <c r="M380" s="8" t="n">
        <f aca="false">K380-L380</f>
        <v>444</v>
      </c>
      <c r="N380" s="2" t="s">
        <v>28</v>
      </c>
      <c r="O380" s="2" t="s">
        <v>64</v>
      </c>
    </row>
    <row r="381" customFormat="false" ht="15" hidden="false" customHeight="false" outlineLevel="0" collapsed="false">
      <c r="A381" s="2" t="s">
        <v>435</v>
      </c>
      <c r="B381" s="3" t="n">
        <v>45814</v>
      </c>
      <c r="C381" s="2" t="s">
        <v>16</v>
      </c>
      <c r="D381" s="2" t="s">
        <v>22</v>
      </c>
      <c r="E381" s="2" t="s">
        <v>57</v>
      </c>
      <c r="F381" s="4" t="str">
        <f aca="false">INDEX(Products!$B$2:$B$9,MATCH(E381,Products!$A$2:$A$9,0))</f>
        <v>Edge Gateway</v>
      </c>
      <c r="G381" s="4" t="str">
        <f aca="false">INDEX(Products!$C$2:$C$9,MATCH(E381,Products!$A$2:$A$9,0))</f>
        <v>Hardware</v>
      </c>
      <c r="H381" s="5" t="n">
        <v>3</v>
      </c>
      <c r="I381" s="6" t="n">
        <f aca="false">INDEX(Products!$D$2:$D$9,MATCH(E381,Products!$A$2:$A$9,0))</f>
        <v>899</v>
      </c>
      <c r="J381" s="7" t="n">
        <v>0.25</v>
      </c>
      <c r="K381" s="8" t="n">
        <f aca="false">H381*I381*(1-J381)</f>
        <v>2022.75</v>
      </c>
      <c r="L381" s="6" t="n">
        <f aca="false">H381*INDEX(Products!$E$2:$E$9,MATCH(E381,Products!$A$2:$A$9,0))</f>
        <v>1836</v>
      </c>
      <c r="M381" s="8" t="n">
        <f aca="false">K381-L381</f>
        <v>186.75</v>
      </c>
      <c r="N381" s="2" t="s">
        <v>19</v>
      </c>
      <c r="O381" s="2" t="s">
        <v>20</v>
      </c>
    </row>
    <row r="382" customFormat="false" ht="15" hidden="false" customHeight="false" outlineLevel="0" collapsed="false">
      <c r="A382" s="2" t="s">
        <v>436</v>
      </c>
      <c r="B382" s="3" t="n">
        <v>45814</v>
      </c>
      <c r="C382" s="2" t="s">
        <v>41</v>
      </c>
      <c r="D382" s="2" t="s">
        <v>42</v>
      </c>
      <c r="E382" s="2" t="s">
        <v>32</v>
      </c>
      <c r="F382" s="4" t="str">
        <f aca="false">INDEX(Products!$B$2:$B$9,MATCH(E382,Products!$A$2:$A$9,0))</f>
        <v>Analytics Plus</v>
      </c>
      <c r="G382" s="4" t="str">
        <f aca="false">INDEX(Products!$C$2:$C$9,MATCH(E382,Products!$A$2:$A$9,0))</f>
        <v>Software</v>
      </c>
      <c r="H382" s="5" t="n">
        <v>1</v>
      </c>
      <c r="I382" s="6" t="n">
        <f aca="false">INDEX(Products!$D$2:$D$9,MATCH(E382,Products!$A$2:$A$9,0))</f>
        <v>290</v>
      </c>
      <c r="J382" s="7" t="n">
        <v>0</v>
      </c>
      <c r="K382" s="8" t="n">
        <f aca="false">H382*I382*(1-J382)</f>
        <v>290</v>
      </c>
      <c r="L382" s="6" t="n">
        <f aca="false">H382*INDEX(Products!$E$2:$E$9,MATCH(E382,Products!$A$2:$A$9,0))</f>
        <v>41</v>
      </c>
      <c r="M382" s="8" t="n">
        <f aca="false">K382-L382</f>
        <v>249</v>
      </c>
      <c r="N382" s="2" t="s">
        <v>28</v>
      </c>
      <c r="O382" s="2" t="s">
        <v>43</v>
      </c>
    </row>
    <row r="383" customFormat="false" ht="15" hidden="false" customHeight="false" outlineLevel="0" collapsed="false">
      <c r="A383" s="2" t="s">
        <v>437</v>
      </c>
      <c r="B383" s="3" t="n">
        <v>45817</v>
      </c>
      <c r="C383" s="2" t="s">
        <v>16</v>
      </c>
      <c r="D383" s="2" t="s">
        <v>22</v>
      </c>
      <c r="E383" s="2" t="s">
        <v>68</v>
      </c>
      <c r="F383" s="4" t="str">
        <f aca="false">INDEX(Products!$B$2:$B$9,MATCH(E383,Products!$A$2:$A$9,0))</f>
        <v>Premium Support</v>
      </c>
      <c r="G383" s="4" t="str">
        <f aca="false">INDEX(Products!$C$2:$C$9,MATCH(E383,Products!$A$2:$A$9,0))</f>
        <v>Services</v>
      </c>
      <c r="H383" s="5" t="n">
        <v>5</v>
      </c>
      <c r="I383" s="6" t="n">
        <f aca="false">INDEX(Products!$D$2:$D$9,MATCH(E383,Products!$A$2:$A$9,0))</f>
        <v>600</v>
      </c>
      <c r="J383" s="7" t="n">
        <v>0</v>
      </c>
      <c r="K383" s="8" t="n">
        <f aca="false">H383*I383*(1-J383)</f>
        <v>3000</v>
      </c>
      <c r="L383" s="6" t="n">
        <f aca="false">H383*INDEX(Products!$E$2:$E$9,MATCH(E383,Products!$A$2:$A$9,0))</f>
        <v>1975</v>
      </c>
      <c r="M383" s="8" t="n">
        <f aca="false">K383-L383</f>
        <v>1025</v>
      </c>
      <c r="N383" s="2" t="s">
        <v>28</v>
      </c>
      <c r="O383" s="2" t="s">
        <v>20</v>
      </c>
    </row>
    <row r="384" customFormat="false" ht="15" hidden="false" customHeight="false" outlineLevel="0" collapsed="false">
      <c r="A384" s="2" t="s">
        <v>438</v>
      </c>
      <c r="B384" s="3" t="n">
        <v>45817</v>
      </c>
      <c r="C384" s="2" t="s">
        <v>16</v>
      </c>
      <c r="D384" s="2" t="s">
        <v>22</v>
      </c>
      <c r="E384" s="2" t="s">
        <v>68</v>
      </c>
      <c r="F384" s="4" t="str">
        <f aca="false">INDEX(Products!$B$2:$B$9,MATCH(E384,Products!$A$2:$A$9,0))</f>
        <v>Premium Support</v>
      </c>
      <c r="G384" s="4" t="str">
        <f aca="false">INDEX(Products!$C$2:$C$9,MATCH(E384,Products!$A$2:$A$9,0))</f>
        <v>Services</v>
      </c>
      <c r="H384" s="5" t="n">
        <v>1</v>
      </c>
      <c r="I384" s="6" t="n">
        <f aca="false">INDEX(Products!$D$2:$D$9,MATCH(E384,Products!$A$2:$A$9,0))</f>
        <v>600</v>
      </c>
      <c r="J384" s="7" t="n">
        <v>0</v>
      </c>
      <c r="K384" s="8" t="n">
        <f aca="false">H384*I384*(1-J384)</f>
        <v>600</v>
      </c>
      <c r="L384" s="6" t="n">
        <f aca="false">H384*INDEX(Products!$E$2:$E$9,MATCH(E384,Products!$A$2:$A$9,0))</f>
        <v>395</v>
      </c>
      <c r="M384" s="8" t="n">
        <f aca="false">K384-L384</f>
        <v>205</v>
      </c>
      <c r="N384" s="2" t="s">
        <v>28</v>
      </c>
      <c r="O384" s="2" t="s">
        <v>20</v>
      </c>
    </row>
    <row r="385" customFormat="false" ht="15" hidden="false" customHeight="false" outlineLevel="0" collapsed="false">
      <c r="A385" s="2" t="s">
        <v>439</v>
      </c>
      <c r="B385" s="3" t="n">
        <v>45817</v>
      </c>
      <c r="C385" s="2" t="s">
        <v>41</v>
      </c>
      <c r="D385" s="2" t="s">
        <v>42</v>
      </c>
      <c r="E385" s="2" t="s">
        <v>61</v>
      </c>
      <c r="F385" s="4" t="str">
        <f aca="false">INDEX(Products!$B$2:$B$9,MATCH(E385,Products!$A$2:$A$9,0))</f>
        <v>Install Service</v>
      </c>
      <c r="G385" s="4" t="str">
        <f aca="false">INDEX(Products!$C$2:$C$9,MATCH(E385,Products!$A$2:$A$9,0))</f>
        <v>Services</v>
      </c>
      <c r="H385" s="5" t="n">
        <v>1</v>
      </c>
      <c r="I385" s="6" t="n">
        <f aca="false">INDEX(Products!$D$2:$D$9,MATCH(E385,Products!$A$2:$A$9,0))</f>
        <v>450</v>
      </c>
      <c r="J385" s="7" t="n">
        <v>0.2</v>
      </c>
      <c r="K385" s="8" t="n">
        <f aca="false">H385*I385*(1-J385)</f>
        <v>360</v>
      </c>
      <c r="L385" s="6" t="n">
        <f aca="false">H385*INDEX(Products!$E$2:$E$9,MATCH(E385,Products!$A$2:$A$9,0))</f>
        <v>310</v>
      </c>
      <c r="M385" s="8" t="n">
        <f aca="false">K385-L385</f>
        <v>50</v>
      </c>
      <c r="N385" s="2" t="s">
        <v>19</v>
      </c>
      <c r="O385" s="2" t="s">
        <v>43</v>
      </c>
    </row>
    <row r="386" customFormat="false" ht="15" hidden="false" customHeight="false" outlineLevel="0" collapsed="false">
      <c r="A386" s="2" t="s">
        <v>440</v>
      </c>
      <c r="B386" s="3" t="n">
        <v>45817</v>
      </c>
      <c r="C386" s="2" t="s">
        <v>47</v>
      </c>
      <c r="D386" s="2" t="s">
        <v>48</v>
      </c>
      <c r="E386" s="2" t="s">
        <v>23</v>
      </c>
      <c r="F386" s="4" t="str">
        <f aca="false">INDEX(Products!$B$2:$B$9,MATCH(E386,Products!$A$2:$A$9,0))</f>
        <v>Sensor Hub S</v>
      </c>
      <c r="G386" s="4" t="str">
        <f aca="false">INDEX(Products!$C$2:$C$9,MATCH(E386,Products!$A$2:$A$9,0))</f>
        <v>Hardware</v>
      </c>
      <c r="H386" s="5" t="n">
        <v>20</v>
      </c>
      <c r="I386" s="6" t="n">
        <f aca="false">INDEX(Products!$D$2:$D$9,MATCH(E386,Products!$A$2:$A$9,0))</f>
        <v>189</v>
      </c>
      <c r="J386" s="7" t="n">
        <v>0</v>
      </c>
      <c r="K386" s="8" t="n">
        <f aca="false">H386*I386*(1-J386)</f>
        <v>3780</v>
      </c>
      <c r="L386" s="6" t="n">
        <f aca="false">H386*INDEX(Products!$E$2:$E$9,MATCH(E386,Products!$A$2:$A$9,0))</f>
        <v>1960</v>
      </c>
      <c r="M386" s="8" t="n">
        <f aca="false">K386-L386</f>
        <v>1820</v>
      </c>
      <c r="N386" s="2" t="s">
        <v>28</v>
      </c>
      <c r="O386" s="2" t="s">
        <v>72</v>
      </c>
    </row>
    <row r="387" customFormat="false" ht="15" hidden="false" customHeight="false" outlineLevel="0" collapsed="false">
      <c r="A387" s="2" t="s">
        <v>441</v>
      </c>
      <c r="B387" s="3" t="n">
        <v>45818</v>
      </c>
      <c r="C387" s="2" t="s">
        <v>47</v>
      </c>
      <c r="D387" s="2" t="s">
        <v>71</v>
      </c>
      <c r="E387" s="2" t="s">
        <v>18</v>
      </c>
      <c r="F387" s="4" t="str">
        <f aca="false">INDEX(Products!$B$2:$B$9,MATCH(E387,Products!$A$2:$A$9,0))</f>
        <v>Sensor Hub Pro</v>
      </c>
      <c r="G387" s="4" t="str">
        <f aca="false">INDEX(Products!$C$2:$C$9,MATCH(E387,Products!$A$2:$A$9,0))</f>
        <v>Hardware</v>
      </c>
      <c r="H387" s="5" t="n">
        <v>1</v>
      </c>
      <c r="I387" s="6" t="n">
        <f aca="false">INDEX(Products!$D$2:$D$9,MATCH(E387,Products!$A$2:$A$9,0))</f>
        <v>349</v>
      </c>
      <c r="J387" s="7" t="n">
        <v>0</v>
      </c>
      <c r="K387" s="8" t="n">
        <f aca="false">H387*I387*(1-J387)</f>
        <v>349</v>
      </c>
      <c r="L387" s="6" t="n">
        <f aca="false">H387*INDEX(Products!$E$2:$E$9,MATCH(E387,Products!$A$2:$A$9,0))</f>
        <v>201</v>
      </c>
      <c r="M387" s="8" t="n">
        <f aca="false">K387-L387</f>
        <v>148</v>
      </c>
      <c r="N387" s="2" t="s">
        <v>28</v>
      </c>
      <c r="O387" s="2" t="s">
        <v>50</v>
      </c>
    </row>
    <row r="388" customFormat="false" ht="15" hidden="false" customHeight="false" outlineLevel="0" collapsed="false">
      <c r="A388" s="2" t="s">
        <v>442</v>
      </c>
      <c r="B388" s="3" t="n">
        <v>45818</v>
      </c>
      <c r="C388" s="2" t="s">
        <v>59</v>
      </c>
      <c r="D388" s="2" t="s">
        <v>101</v>
      </c>
      <c r="E388" s="2" t="s">
        <v>18</v>
      </c>
      <c r="F388" s="4" t="str">
        <f aca="false">INDEX(Products!$B$2:$B$9,MATCH(E388,Products!$A$2:$A$9,0))</f>
        <v>Sensor Hub Pro</v>
      </c>
      <c r="G388" s="4" t="str">
        <f aca="false">INDEX(Products!$C$2:$C$9,MATCH(E388,Products!$A$2:$A$9,0))</f>
        <v>Hardware</v>
      </c>
      <c r="H388" s="5" t="n">
        <v>2</v>
      </c>
      <c r="I388" s="6" t="n">
        <f aca="false">INDEX(Products!$D$2:$D$9,MATCH(E388,Products!$A$2:$A$9,0))</f>
        <v>349</v>
      </c>
      <c r="J388" s="7" t="n">
        <v>0.1</v>
      </c>
      <c r="K388" s="8" t="n">
        <f aca="false">H388*I388*(1-J388)</f>
        <v>628.2</v>
      </c>
      <c r="L388" s="6" t="n">
        <f aca="false">H388*INDEX(Products!$E$2:$E$9,MATCH(E388,Products!$A$2:$A$9,0))</f>
        <v>402</v>
      </c>
      <c r="M388" s="8" t="n">
        <f aca="false">K388-L388</f>
        <v>226.2</v>
      </c>
      <c r="N388" s="2" t="s">
        <v>28</v>
      </c>
      <c r="O388" s="2" t="s">
        <v>62</v>
      </c>
    </row>
    <row r="389" customFormat="false" ht="15" hidden="false" customHeight="false" outlineLevel="0" collapsed="false">
      <c r="A389" s="2" t="s">
        <v>443</v>
      </c>
      <c r="B389" s="3" t="n">
        <v>45818</v>
      </c>
      <c r="C389" s="2" t="s">
        <v>47</v>
      </c>
      <c r="D389" s="2" t="s">
        <v>55</v>
      </c>
      <c r="E389" s="2" t="s">
        <v>32</v>
      </c>
      <c r="F389" s="4" t="str">
        <f aca="false">INDEX(Products!$B$2:$B$9,MATCH(E389,Products!$A$2:$A$9,0))</f>
        <v>Analytics Plus</v>
      </c>
      <c r="G389" s="4" t="str">
        <f aca="false">INDEX(Products!$C$2:$C$9,MATCH(E389,Products!$A$2:$A$9,0))</f>
        <v>Software</v>
      </c>
      <c r="H389" s="5" t="n">
        <v>3</v>
      </c>
      <c r="I389" s="6" t="n">
        <f aca="false">INDEX(Products!$D$2:$D$9,MATCH(E389,Products!$A$2:$A$9,0))</f>
        <v>290</v>
      </c>
      <c r="J389" s="7" t="n">
        <v>0.1</v>
      </c>
      <c r="K389" s="8" t="n">
        <f aca="false">H389*I389*(1-J389)</f>
        <v>783</v>
      </c>
      <c r="L389" s="6" t="n">
        <f aca="false">H389*INDEX(Products!$E$2:$E$9,MATCH(E389,Products!$A$2:$A$9,0))</f>
        <v>123</v>
      </c>
      <c r="M389" s="8" t="n">
        <f aca="false">K389-L389</f>
        <v>660</v>
      </c>
      <c r="N389" s="2" t="s">
        <v>28</v>
      </c>
      <c r="O389" s="2" t="s">
        <v>50</v>
      </c>
    </row>
    <row r="390" customFormat="false" ht="15" hidden="false" customHeight="false" outlineLevel="0" collapsed="false">
      <c r="A390" s="2" t="s">
        <v>444</v>
      </c>
      <c r="B390" s="3" t="n">
        <v>45818</v>
      </c>
      <c r="C390" s="2" t="s">
        <v>16</v>
      </c>
      <c r="D390" s="2" t="s">
        <v>17</v>
      </c>
      <c r="E390" s="2" t="s">
        <v>32</v>
      </c>
      <c r="F390" s="4" t="str">
        <f aca="false">INDEX(Products!$B$2:$B$9,MATCH(E390,Products!$A$2:$A$9,0))</f>
        <v>Analytics Plus</v>
      </c>
      <c r="G390" s="4" t="str">
        <f aca="false">INDEX(Products!$C$2:$C$9,MATCH(E390,Products!$A$2:$A$9,0))</f>
        <v>Software</v>
      </c>
      <c r="H390" s="5" t="n">
        <v>1</v>
      </c>
      <c r="I390" s="6" t="n">
        <f aca="false">INDEX(Products!$D$2:$D$9,MATCH(E390,Products!$A$2:$A$9,0))</f>
        <v>290</v>
      </c>
      <c r="J390" s="7" t="n">
        <v>0.1</v>
      </c>
      <c r="K390" s="8" t="n">
        <f aca="false">H390*I390*(1-J390)</f>
        <v>261</v>
      </c>
      <c r="L390" s="6" t="n">
        <f aca="false">H390*INDEX(Products!$E$2:$E$9,MATCH(E390,Products!$A$2:$A$9,0))</f>
        <v>41</v>
      </c>
      <c r="M390" s="8" t="n">
        <f aca="false">K390-L390</f>
        <v>220</v>
      </c>
      <c r="N390" s="2" t="s">
        <v>19</v>
      </c>
      <c r="O390" s="2" t="s">
        <v>36</v>
      </c>
    </row>
    <row r="391" customFormat="false" ht="15" hidden="false" customHeight="false" outlineLevel="0" collapsed="false">
      <c r="A391" s="2" t="s">
        <v>445</v>
      </c>
      <c r="B391" s="3" t="n">
        <v>45818</v>
      </c>
      <c r="C391" s="2" t="s">
        <v>47</v>
      </c>
      <c r="D391" s="2" t="s">
        <v>55</v>
      </c>
      <c r="E391" s="2" t="s">
        <v>23</v>
      </c>
      <c r="F391" s="4" t="str">
        <f aca="false">INDEX(Products!$B$2:$B$9,MATCH(E391,Products!$A$2:$A$9,0))</f>
        <v>Sensor Hub S</v>
      </c>
      <c r="G391" s="4" t="str">
        <f aca="false">INDEX(Products!$C$2:$C$9,MATCH(E391,Products!$A$2:$A$9,0))</f>
        <v>Hardware</v>
      </c>
      <c r="H391" s="5" t="n">
        <v>8</v>
      </c>
      <c r="I391" s="6" t="n">
        <f aca="false">INDEX(Products!$D$2:$D$9,MATCH(E391,Products!$A$2:$A$9,0))</f>
        <v>189</v>
      </c>
      <c r="J391" s="7" t="n">
        <v>0.1</v>
      </c>
      <c r="K391" s="8" t="n">
        <f aca="false">H391*I391*(1-J391)</f>
        <v>1360.8</v>
      </c>
      <c r="L391" s="6" t="n">
        <f aca="false">H391*INDEX(Products!$E$2:$E$9,MATCH(E391,Products!$A$2:$A$9,0))</f>
        <v>784</v>
      </c>
      <c r="M391" s="8" t="n">
        <f aca="false">K391-L391</f>
        <v>576.8</v>
      </c>
      <c r="N391" s="2" t="s">
        <v>19</v>
      </c>
      <c r="O391" s="2" t="s">
        <v>50</v>
      </c>
    </row>
    <row r="392" customFormat="false" ht="15" hidden="false" customHeight="false" outlineLevel="0" collapsed="false">
      <c r="A392" s="2" t="s">
        <v>446</v>
      </c>
      <c r="B392" s="3" t="n">
        <v>45819</v>
      </c>
      <c r="C392" s="2" t="s">
        <v>59</v>
      </c>
      <c r="D392" s="2" t="s">
        <v>60</v>
      </c>
      <c r="E392" s="2" t="s">
        <v>23</v>
      </c>
      <c r="F392" s="4" t="str">
        <f aca="false">INDEX(Products!$B$2:$B$9,MATCH(E392,Products!$A$2:$A$9,0))</f>
        <v>Sensor Hub S</v>
      </c>
      <c r="G392" s="4" t="str">
        <f aca="false">INDEX(Products!$C$2:$C$9,MATCH(E392,Products!$A$2:$A$9,0))</f>
        <v>Hardware</v>
      </c>
      <c r="H392" s="5" t="n">
        <v>12</v>
      </c>
      <c r="I392" s="6" t="n">
        <f aca="false">INDEX(Products!$D$2:$D$9,MATCH(E392,Products!$A$2:$A$9,0))</f>
        <v>189</v>
      </c>
      <c r="J392" s="7" t="n">
        <v>0.05</v>
      </c>
      <c r="K392" s="8" t="n">
        <f aca="false">H392*I392*(1-J392)</f>
        <v>2154.6</v>
      </c>
      <c r="L392" s="6" t="n">
        <f aca="false">H392*INDEX(Products!$E$2:$E$9,MATCH(E392,Products!$A$2:$A$9,0))</f>
        <v>1176</v>
      </c>
      <c r="M392" s="8" t="n">
        <f aca="false">K392-L392</f>
        <v>978.6</v>
      </c>
      <c r="N392" s="2" t="s">
        <v>28</v>
      </c>
      <c r="O392" s="2" t="s">
        <v>62</v>
      </c>
    </row>
    <row r="393" customFormat="false" ht="15" hidden="false" customHeight="false" outlineLevel="0" collapsed="false">
      <c r="A393" s="2" t="s">
        <v>447</v>
      </c>
      <c r="B393" s="3" t="n">
        <v>45819</v>
      </c>
      <c r="C393" s="2" t="s">
        <v>41</v>
      </c>
      <c r="D393" s="2" t="s">
        <v>42</v>
      </c>
      <c r="E393" s="2" t="s">
        <v>49</v>
      </c>
      <c r="F393" s="4" t="str">
        <f aca="false">INDEX(Products!$B$2:$B$9,MATCH(E393,Products!$A$2:$A$9,0))</f>
        <v>Mounting Kit</v>
      </c>
      <c r="G393" s="4" t="str">
        <f aca="false">INDEX(Products!$C$2:$C$9,MATCH(E393,Products!$A$2:$A$9,0))</f>
        <v>Accessories</v>
      </c>
      <c r="H393" s="5" t="n">
        <v>1</v>
      </c>
      <c r="I393" s="6" t="n">
        <f aca="false">INDEX(Products!$D$2:$D$9,MATCH(E393,Products!$A$2:$A$9,0))</f>
        <v>39</v>
      </c>
      <c r="J393" s="7" t="n">
        <v>0</v>
      </c>
      <c r="K393" s="8" t="n">
        <f aca="false">H393*I393*(1-J393)</f>
        <v>39</v>
      </c>
      <c r="L393" s="6" t="n">
        <f aca="false">H393*INDEX(Products!$E$2:$E$9,MATCH(E393,Products!$A$2:$A$9,0))</f>
        <v>31.5</v>
      </c>
      <c r="M393" s="8" t="n">
        <f aca="false">K393-L393</f>
        <v>7.5</v>
      </c>
      <c r="N393" s="2" t="s">
        <v>28</v>
      </c>
      <c r="O393" s="2" t="s">
        <v>52</v>
      </c>
    </row>
    <row r="394" customFormat="false" ht="15" hidden="false" customHeight="false" outlineLevel="0" collapsed="false">
      <c r="A394" s="2" t="s">
        <v>448</v>
      </c>
      <c r="B394" s="3" t="n">
        <v>45819</v>
      </c>
      <c r="C394" s="2" t="s">
        <v>16</v>
      </c>
      <c r="D394" s="2" t="s">
        <v>25</v>
      </c>
      <c r="E394" s="2" t="s">
        <v>49</v>
      </c>
      <c r="F394" s="4" t="str">
        <f aca="false">INDEX(Products!$B$2:$B$9,MATCH(E394,Products!$A$2:$A$9,0))</f>
        <v>Mounting Kit</v>
      </c>
      <c r="G394" s="4" t="str">
        <f aca="false">INDEX(Products!$C$2:$C$9,MATCH(E394,Products!$A$2:$A$9,0))</f>
        <v>Accessories</v>
      </c>
      <c r="H394" s="5" t="n">
        <v>5</v>
      </c>
      <c r="I394" s="6" t="n">
        <f aca="false">INDEX(Products!$D$2:$D$9,MATCH(E394,Products!$A$2:$A$9,0))</f>
        <v>39</v>
      </c>
      <c r="J394" s="7" t="n">
        <v>0.2</v>
      </c>
      <c r="K394" s="8" t="n">
        <f aca="false">H394*I394*(1-J394)</f>
        <v>156</v>
      </c>
      <c r="L394" s="6" t="n">
        <f aca="false">H394*INDEX(Products!$E$2:$E$9,MATCH(E394,Products!$A$2:$A$9,0))</f>
        <v>157.5</v>
      </c>
      <c r="M394" s="8" t="n">
        <f aca="false">K394-L394</f>
        <v>-1.5</v>
      </c>
      <c r="N394" s="2" t="s">
        <v>19</v>
      </c>
      <c r="O394" s="2" t="s">
        <v>20</v>
      </c>
    </row>
    <row r="395" customFormat="false" ht="15" hidden="false" customHeight="false" outlineLevel="0" collapsed="false">
      <c r="A395" s="2" t="s">
        <v>449</v>
      </c>
      <c r="B395" s="3" t="n">
        <v>45820</v>
      </c>
      <c r="C395" s="2" t="s">
        <v>47</v>
      </c>
      <c r="D395" s="2" t="s">
        <v>48</v>
      </c>
      <c r="E395" s="2" t="s">
        <v>32</v>
      </c>
      <c r="F395" s="4" t="str">
        <f aca="false">INDEX(Products!$B$2:$B$9,MATCH(E395,Products!$A$2:$A$9,0))</f>
        <v>Analytics Plus</v>
      </c>
      <c r="G395" s="4" t="str">
        <f aca="false">INDEX(Products!$C$2:$C$9,MATCH(E395,Products!$A$2:$A$9,0))</f>
        <v>Software</v>
      </c>
      <c r="H395" s="5" t="n">
        <v>1</v>
      </c>
      <c r="I395" s="6" t="n">
        <f aca="false">INDEX(Products!$D$2:$D$9,MATCH(E395,Products!$A$2:$A$9,0))</f>
        <v>290</v>
      </c>
      <c r="J395" s="7" t="n">
        <v>0</v>
      </c>
      <c r="K395" s="8" t="n">
        <f aca="false">H395*I395*(1-J395)</f>
        <v>290</v>
      </c>
      <c r="L395" s="6" t="n">
        <f aca="false">H395*INDEX(Products!$E$2:$E$9,MATCH(E395,Products!$A$2:$A$9,0))</f>
        <v>41</v>
      </c>
      <c r="M395" s="8" t="n">
        <f aca="false">K395-L395</f>
        <v>249</v>
      </c>
      <c r="N395" s="2" t="s">
        <v>28</v>
      </c>
      <c r="O395" s="2" t="s">
        <v>72</v>
      </c>
    </row>
    <row r="396" customFormat="false" ht="15" hidden="false" customHeight="false" outlineLevel="0" collapsed="false">
      <c r="A396" s="2" t="s">
        <v>450</v>
      </c>
      <c r="B396" s="3" t="n">
        <v>45820</v>
      </c>
      <c r="C396" s="2" t="s">
        <v>47</v>
      </c>
      <c r="D396" s="2" t="s">
        <v>55</v>
      </c>
      <c r="E396" s="2" t="s">
        <v>57</v>
      </c>
      <c r="F396" s="4" t="str">
        <f aca="false">INDEX(Products!$B$2:$B$9,MATCH(E396,Products!$A$2:$A$9,0))</f>
        <v>Edge Gateway</v>
      </c>
      <c r="G396" s="4" t="str">
        <f aca="false">INDEX(Products!$C$2:$C$9,MATCH(E396,Products!$A$2:$A$9,0))</f>
        <v>Hardware</v>
      </c>
      <c r="H396" s="5" t="n">
        <v>20</v>
      </c>
      <c r="I396" s="6" t="n">
        <f aca="false">INDEX(Products!$D$2:$D$9,MATCH(E396,Products!$A$2:$A$9,0))</f>
        <v>899</v>
      </c>
      <c r="J396" s="7" t="n">
        <v>0.2</v>
      </c>
      <c r="K396" s="8" t="n">
        <f aca="false">H396*I396*(1-J396)</f>
        <v>14384</v>
      </c>
      <c r="L396" s="6" t="n">
        <f aca="false">H396*INDEX(Products!$E$2:$E$9,MATCH(E396,Products!$A$2:$A$9,0))</f>
        <v>12240</v>
      </c>
      <c r="M396" s="8" t="n">
        <f aca="false">K396-L396</f>
        <v>2144</v>
      </c>
      <c r="N396" s="2" t="s">
        <v>19</v>
      </c>
      <c r="O396" s="2" t="s">
        <v>50</v>
      </c>
    </row>
    <row r="397" customFormat="false" ht="15" hidden="false" customHeight="false" outlineLevel="0" collapsed="false">
      <c r="A397" s="2" t="s">
        <v>451</v>
      </c>
      <c r="B397" s="3" t="n">
        <v>45820</v>
      </c>
      <c r="C397" s="2" t="s">
        <v>41</v>
      </c>
      <c r="D397" s="2" t="s">
        <v>66</v>
      </c>
      <c r="E397" s="2" t="s">
        <v>61</v>
      </c>
      <c r="F397" s="4" t="str">
        <f aca="false">INDEX(Products!$B$2:$B$9,MATCH(E397,Products!$A$2:$A$9,0))</f>
        <v>Install Service</v>
      </c>
      <c r="G397" s="4" t="str">
        <f aca="false">INDEX(Products!$C$2:$C$9,MATCH(E397,Products!$A$2:$A$9,0))</f>
        <v>Services</v>
      </c>
      <c r="H397" s="5" t="n">
        <v>1</v>
      </c>
      <c r="I397" s="6" t="n">
        <f aca="false">INDEX(Products!$D$2:$D$9,MATCH(E397,Products!$A$2:$A$9,0))</f>
        <v>450</v>
      </c>
      <c r="J397" s="7" t="n">
        <v>0</v>
      </c>
      <c r="K397" s="8" t="n">
        <f aca="false">H397*I397*(1-J397)</f>
        <v>450</v>
      </c>
      <c r="L397" s="6" t="n">
        <f aca="false">H397*INDEX(Products!$E$2:$E$9,MATCH(E397,Products!$A$2:$A$9,0))</f>
        <v>310</v>
      </c>
      <c r="M397" s="8" t="n">
        <f aca="false">K397-L397</f>
        <v>140</v>
      </c>
      <c r="N397" s="2" t="s">
        <v>28</v>
      </c>
      <c r="O397" s="2" t="s">
        <v>43</v>
      </c>
    </row>
    <row r="398" customFormat="false" ht="15" hidden="false" customHeight="false" outlineLevel="0" collapsed="false">
      <c r="A398" s="2" t="s">
        <v>452</v>
      </c>
      <c r="B398" s="3" t="n">
        <v>45821</v>
      </c>
      <c r="C398" s="2" t="s">
        <v>47</v>
      </c>
      <c r="D398" s="2" t="s">
        <v>48</v>
      </c>
      <c r="E398" s="2" t="s">
        <v>32</v>
      </c>
      <c r="F398" s="4" t="str">
        <f aca="false">INDEX(Products!$B$2:$B$9,MATCH(E398,Products!$A$2:$A$9,0))</f>
        <v>Analytics Plus</v>
      </c>
      <c r="G398" s="4" t="str">
        <f aca="false">INDEX(Products!$C$2:$C$9,MATCH(E398,Products!$A$2:$A$9,0))</f>
        <v>Software</v>
      </c>
      <c r="H398" s="5" t="n">
        <v>1</v>
      </c>
      <c r="I398" s="6" t="n">
        <f aca="false">INDEX(Products!$D$2:$D$9,MATCH(E398,Products!$A$2:$A$9,0))</f>
        <v>290</v>
      </c>
      <c r="J398" s="7" t="n">
        <v>0.2</v>
      </c>
      <c r="K398" s="8" t="n">
        <f aca="false">H398*I398*(1-J398)</f>
        <v>232</v>
      </c>
      <c r="L398" s="6" t="n">
        <f aca="false">H398*INDEX(Products!$E$2:$E$9,MATCH(E398,Products!$A$2:$A$9,0))</f>
        <v>41</v>
      </c>
      <c r="M398" s="8" t="n">
        <f aca="false">K398-L398</f>
        <v>191</v>
      </c>
      <c r="N398" s="2" t="s">
        <v>19</v>
      </c>
      <c r="O398" s="2" t="s">
        <v>72</v>
      </c>
    </row>
    <row r="399" customFormat="false" ht="15" hidden="false" customHeight="false" outlineLevel="0" collapsed="false">
      <c r="A399" s="2" t="s">
        <v>453</v>
      </c>
      <c r="B399" s="3" t="n">
        <v>45821</v>
      </c>
      <c r="C399" s="2" t="s">
        <v>16</v>
      </c>
      <c r="D399" s="2" t="s">
        <v>35</v>
      </c>
      <c r="E399" s="2" t="s">
        <v>23</v>
      </c>
      <c r="F399" s="4" t="str">
        <f aca="false">INDEX(Products!$B$2:$B$9,MATCH(E399,Products!$A$2:$A$9,0))</f>
        <v>Sensor Hub S</v>
      </c>
      <c r="G399" s="4" t="str">
        <f aca="false">INDEX(Products!$C$2:$C$9,MATCH(E399,Products!$A$2:$A$9,0))</f>
        <v>Hardware</v>
      </c>
      <c r="H399" s="5" t="n">
        <v>1</v>
      </c>
      <c r="I399" s="6" t="n">
        <f aca="false">INDEX(Products!$D$2:$D$9,MATCH(E399,Products!$A$2:$A$9,0))</f>
        <v>189</v>
      </c>
      <c r="J399" s="7" t="n">
        <v>0</v>
      </c>
      <c r="K399" s="8" t="n">
        <f aca="false">H399*I399*(1-J399)</f>
        <v>189</v>
      </c>
      <c r="L399" s="6" t="n">
        <f aca="false">H399*INDEX(Products!$E$2:$E$9,MATCH(E399,Products!$A$2:$A$9,0))</f>
        <v>98</v>
      </c>
      <c r="M399" s="8" t="n">
        <f aca="false">K399-L399</f>
        <v>91</v>
      </c>
      <c r="N399" s="2" t="s">
        <v>28</v>
      </c>
      <c r="O399" s="2" t="s">
        <v>36</v>
      </c>
    </row>
    <row r="400" customFormat="false" ht="15" hidden="false" customHeight="false" outlineLevel="0" collapsed="false">
      <c r="A400" s="2" t="s">
        <v>454</v>
      </c>
      <c r="B400" s="3" t="n">
        <v>45821</v>
      </c>
      <c r="C400" s="2" t="s">
        <v>47</v>
      </c>
      <c r="D400" s="2" t="s">
        <v>55</v>
      </c>
      <c r="E400" s="2" t="s">
        <v>61</v>
      </c>
      <c r="F400" s="4" t="str">
        <f aca="false">INDEX(Products!$B$2:$B$9,MATCH(E400,Products!$A$2:$A$9,0))</f>
        <v>Install Service</v>
      </c>
      <c r="G400" s="4" t="str">
        <f aca="false">INDEX(Products!$C$2:$C$9,MATCH(E400,Products!$A$2:$A$9,0))</f>
        <v>Services</v>
      </c>
      <c r="H400" s="5" t="n">
        <v>1</v>
      </c>
      <c r="I400" s="6" t="n">
        <f aca="false">INDEX(Products!$D$2:$D$9,MATCH(E400,Products!$A$2:$A$9,0))</f>
        <v>450</v>
      </c>
      <c r="J400" s="7" t="n">
        <v>0.1</v>
      </c>
      <c r="K400" s="8" t="n">
        <f aca="false">H400*I400*(1-J400)</f>
        <v>405</v>
      </c>
      <c r="L400" s="6" t="n">
        <f aca="false">H400*INDEX(Products!$E$2:$E$9,MATCH(E400,Products!$A$2:$A$9,0))</f>
        <v>310</v>
      </c>
      <c r="M400" s="8" t="n">
        <f aca="false">K400-L400</f>
        <v>95</v>
      </c>
      <c r="N400" s="2" t="s">
        <v>19</v>
      </c>
      <c r="O400" s="2" t="s">
        <v>50</v>
      </c>
    </row>
    <row r="401" customFormat="false" ht="15" hidden="false" customHeight="false" outlineLevel="0" collapsed="false">
      <c r="A401" s="2" t="s">
        <v>455</v>
      </c>
      <c r="B401" s="3" t="n">
        <v>45822</v>
      </c>
      <c r="C401" s="2" t="s">
        <v>41</v>
      </c>
      <c r="D401" s="2" t="s">
        <v>66</v>
      </c>
      <c r="E401" s="2" t="s">
        <v>26</v>
      </c>
      <c r="F401" s="4" t="str">
        <f aca="false">INDEX(Products!$B$2:$B$9,MATCH(E401,Products!$A$2:$A$9,0))</f>
        <v>Analytics Basic</v>
      </c>
      <c r="G401" s="4" t="str">
        <f aca="false">INDEX(Products!$C$2:$C$9,MATCH(E401,Products!$A$2:$A$9,0))</f>
        <v>Software</v>
      </c>
      <c r="H401" s="5" t="n">
        <v>1</v>
      </c>
      <c r="I401" s="6" t="n">
        <f aca="false">INDEX(Products!$D$2:$D$9,MATCH(E401,Products!$A$2:$A$9,0))</f>
        <v>120</v>
      </c>
      <c r="J401" s="7" t="n">
        <v>0.05</v>
      </c>
      <c r="K401" s="8" t="n">
        <f aca="false">H401*I401*(1-J401)</f>
        <v>114</v>
      </c>
      <c r="L401" s="6" t="n">
        <f aca="false">H401*INDEX(Products!$E$2:$E$9,MATCH(E401,Products!$A$2:$A$9,0))</f>
        <v>18</v>
      </c>
      <c r="M401" s="8" t="n">
        <f aca="false">K401-L401</f>
        <v>96</v>
      </c>
      <c r="N401" s="2" t="s">
        <v>28</v>
      </c>
      <c r="O401" s="2" t="s">
        <v>43</v>
      </c>
    </row>
    <row r="402" customFormat="false" ht="15" hidden="false" customHeight="false" outlineLevel="0" collapsed="false">
      <c r="A402" s="2" t="s">
        <v>456</v>
      </c>
      <c r="B402" s="3" t="n">
        <v>45824</v>
      </c>
      <c r="C402" s="2" t="s">
        <v>16</v>
      </c>
      <c r="D402" s="2" t="s">
        <v>22</v>
      </c>
      <c r="E402" s="2" t="s">
        <v>23</v>
      </c>
      <c r="F402" s="4" t="str">
        <f aca="false">INDEX(Products!$B$2:$B$9,MATCH(E402,Products!$A$2:$A$9,0))</f>
        <v>Sensor Hub S</v>
      </c>
      <c r="G402" s="4" t="str">
        <f aca="false">INDEX(Products!$C$2:$C$9,MATCH(E402,Products!$A$2:$A$9,0))</f>
        <v>Hardware</v>
      </c>
      <c r="H402" s="5" t="n">
        <v>12</v>
      </c>
      <c r="I402" s="6" t="n">
        <f aca="false">INDEX(Products!$D$2:$D$9,MATCH(E402,Products!$A$2:$A$9,0))</f>
        <v>189</v>
      </c>
      <c r="J402" s="7" t="n">
        <v>0.1</v>
      </c>
      <c r="K402" s="8" t="n">
        <f aca="false">H402*I402*(1-J402)</f>
        <v>2041.2</v>
      </c>
      <c r="L402" s="6" t="n">
        <f aca="false">H402*INDEX(Products!$E$2:$E$9,MATCH(E402,Products!$A$2:$A$9,0))</f>
        <v>1176</v>
      </c>
      <c r="M402" s="8" t="n">
        <f aca="false">K402-L402</f>
        <v>865.2</v>
      </c>
      <c r="N402" s="2" t="s">
        <v>19</v>
      </c>
      <c r="O402" s="2" t="s">
        <v>36</v>
      </c>
    </row>
    <row r="403" customFormat="false" ht="15" hidden="false" customHeight="false" outlineLevel="0" collapsed="false">
      <c r="A403" s="2" t="s">
        <v>457</v>
      </c>
      <c r="B403" s="3" t="n">
        <v>45824</v>
      </c>
      <c r="C403" s="2" t="s">
        <v>16</v>
      </c>
      <c r="D403" s="2" t="s">
        <v>25</v>
      </c>
      <c r="E403" s="2" t="s">
        <v>68</v>
      </c>
      <c r="F403" s="4" t="str">
        <f aca="false">INDEX(Products!$B$2:$B$9,MATCH(E403,Products!$A$2:$A$9,0))</f>
        <v>Premium Support</v>
      </c>
      <c r="G403" s="4" t="str">
        <f aca="false">INDEX(Products!$C$2:$C$9,MATCH(E403,Products!$A$2:$A$9,0))</f>
        <v>Services</v>
      </c>
      <c r="H403" s="5" t="n">
        <v>1</v>
      </c>
      <c r="I403" s="6" t="n">
        <f aca="false">INDEX(Products!$D$2:$D$9,MATCH(E403,Products!$A$2:$A$9,0))</f>
        <v>600</v>
      </c>
      <c r="J403" s="7" t="n">
        <v>0</v>
      </c>
      <c r="K403" s="8" t="n">
        <f aca="false">H403*I403*(1-J403)</f>
        <v>600</v>
      </c>
      <c r="L403" s="6" t="n">
        <f aca="false">H403*INDEX(Products!$E$2:$E$9,MATCH(E403,Products!$A$2:$A$9,0))</f>
        <v>395</v>
      </c>
      <c r="M403" s="8" t="n">
        <f aca="false">K403-L403</f>
        <v>205</v>
      </c>
      <c r="N403" s="2" t="s">
        <v>28</v>
      </c>
      <c r="O403" s="2" t="s">
        <v>36</v>
      </c>
    </row>
    <row r="404" customFormat="false" ht="15" hidden="false" customHeight="false" outlineLevel="0" collapsed="false">
      <c r="A404" s="2" t="s">
        <v>458</v>
      </c>
      <c r="B404" s="3" t="n">
        <v>45824</v>
      </c>
      <c r="C404" s="2" t="s">
        <v>16</v>
      </c>
      <c r="D404" s="2" t="s">
        <v>25</v>
      </c>
      <c r="E404" s="2" t="s">
        <v>49</v>
      </c>
      <c r="F404" s="4" t="str">
        <f aca="false">INDEX(Products!$B$2:$B$9,MATCH(E404,Products!$A$2:$A$9,0))</f>
        <v>Mounting Kit</v>
      </c>
      <c r="G404" s="4" t="str">
        <f aca="false">INDEX(Products!$C$2:$C$9,MATCH(E404,Products!$A$2:$A$9,0))</f>
        <v>Accessories</v>
      </c>
      <c r="H404" s="5" t="n">
        <v>1</v>
      </c>
      <c r="I404" s="6" t="n">
        <f aca="false">INDEX(Products!$D$2:$D$9,MATCH(E404,Products!$A$2:$A$9,0))</f>
        <v>39</v>
      </c>
      <c r="J404" s="7" t="n">
        <v>0.2</v>
      </c>
      <c r="K404" s="8" t="n">
        <f aca="false">H404*I404*(1-J404)</f>
        <v>31.2</v>
      </c>
      <c r="L404" s="6" t="n">
        <f aca="false">H404*INDEX(Products!$E$2:$E$9,MATCH(E404,Products!$A$2:$A$9,0))</f>
        <v>31.5</v>
      </c>
      <c r="M404" s="8" t="n">
        <f aca="false">K404-L404</f>
        <v>-0.299999999999997</v>
      </c>
      <c r="N404" s="2" t="s">
        <v>19</v>
      </c>
      <c r="O404" s="2" t="s">
        <v>36</v>
      </c>
    </row>
    <row r="405" customFormat="false" ht="15" hidden="false" customHeight="false" outlineLevel="0" collapsed="false">
      <c r="A405" s="2" t="s">
        <v>459</v>
      </c>
      <c r="B405" s="3" t="n">
        <v>45825</v>
      </c>
      <c r="C405" s="2" t="s">
        <v>47</v>
      </c>
      <c r="D405" s="2" t="s">
        <v>55</v>
      </c>
      <c r="E405" s="2" t="s">
        <v>26</v>
      </c>
      <c r="F405" s="4" t="str">
        <f aca="false">INDEX(Products!$B$2:$B$9,MATCH(E405,Products!$A$2:$A$9,0))</f>
        <v>Analytics Basic</v>
      </c>
      <c r="G405" s="4" t="str">
        <f aca="false">INDEX(Products!$C$2:$C$9,MATCH(E405,Products!$A$2:$A$9,0))</f>
        <v>Software</v>
      </c>
      <c r="H405" s="5" t="n">
        <v>5</v>
      </c>
      <c r="I405" s="6" t="n">
        <f aca="false">INDEX(Products!$D$2:$D$9,MATCH(E405,Products!$A$2:$A$9,0))</f>
        <v>120</v>
      </c>
      <c r="J405" s="7" t="n">
        <v>0.15</v>
      </c>
      <c r="K405" s="8" t="n">
        <f aca="false">H405*I405*(1-J405)</f>
        <v>510</v>
      </c>
      <c r="L405" s="6" t="n">
        <f aca="false">H405*INDEX(Products!$E$2:$E$9,MATCH(E405,Products!$A$2:$A$9,0))</f>
        <v>90</v>
      </c>
      <c r="M405" s="8" t="n">
        <f aca="false">K405-L405</f>
        <v>420</v>
      </c>
      <c r="N405" s="2" t="s">
        <v>28</v>
      </c>
      <c r="O405" s="2" t="s">
        <v>50</v>
      </c>
    </row>
    <row r="406" customFormat="false" ht="15" hidden="false" customHeight="false" outlineLevel="0" collapsed="false">
      <c r="A406" s="2" t="s">
        <v>460</v>
      </c>
      <c r="B406" s="3" t="n">
        <v>45825</v>
      </c>
      <c r="C406" s="2" t="s">
        <v>16</v>
      </c>
      <c r="D406" s="2" t="s">
        <v>17</v>
      </c>
      <c r="E406" s="2" t="s">
        <v>32</v>
      </c>
      <c r="F406" s="4" t="str">
        <f aca="false">INDEX(Products!$B$2:$B$9,MATCH(E406,Products!$A$2:$A$9,0))</f>
        <v>Analytics Plus</v>
      </c>
      <c r="G406" s="4" t="str">
        <f aca="false">INDEX(Products!$C$2:$C$9,MATCH(E406,Products!$A$2:$A$9,0))</f>
        <v>Software</v>
      </c>
      <c r="H406" s="5" t="n">
        <v>1</v>
      </c>
      <c r="I406" s="6" t="n">
        <f aca="false">INDEX(Products!$D$2:$D$9,MATCH(E406,Products!$A$2:$A$9,0))</f>
        <v>290</v>
      </c>
      <c r="J406" s="7" t="n">
        <v>0.15</v>
      </c>
      <c r="K406" s="8" t="n">
        <f aca="false">H406*I406*(1-J406)</f>
        <v>246.5</v>
      </c>
      <c r="L406" s="6" t="n">
        <f aca="false">H406*INDEX(Products!$E$2:$E$9,MATCH(E406,Products!$A$2:$A$9,0))</f>
        <v>41</v>
      </c>
      <c r="M406" s="8" t="n">
        <f aca="false">K406-L406</f>
        <v>205.5</v>
      </c>
      <c r="N406" s="2" t="s">
        <v>28</v>
      </c>
      <c r="O406" s="2" t="s">
        <v>20</v>
      </c>
    </row>
    <row r="407" customFormat="false" ht="15" hidden="false" customHeight="false" outlineLevel="0" collapsed="false">
      <c r="A407" s="2" t="s">
        <v>461</v>
      </c>
      <c r="B407" s="3" t="n">
        <v>45825</v>
      </c>
      <c r="C407" s="2" t="s">
        <v>16</v>
      </c>
      <c r="D407" s="2" t="s">
        <v>35</v>
      </c>
      <c r="E407" s="2" t="s">
        <v>26</v>
      </c>
      <c r="F407" s="4" t="str">
        <f aca="false">INDEX(Products!$B$2:$B$9,MATCH(E407,Products!$A$2:$A$9,0))</f>
        <v>Analytics Basic</v>
      </c>
      <c r="G407" s="4" t="str">
        <f aca="false">INDEX(Products!$C$2:$C$9,MATCH(E407,Products!$A$2:$A$9,0))</f>
        <v>Software</v>
      </c>
      <c r="H407" s="5" t="n">
        <v>1</v>
      </c>
      <c r="I407" s="6" t="n">
        <f aca="false">INDEX(Products!$D$2:$D$9,MATCH(E407,Products!$A$2:$A$9,0))</f>
        <v>120</v>
      </c>
      <c r="J407" s="7" t="n">
        <v>0.1</v>
      </c>
      <c r="K407" s="8" t="n">
        <f aca="false">H407*I407*(1-J407)</f>
        <v>108</v>
      </c>
      <c r="L407" s="6" t="n">
        <f aca="false">H407*INDEX(Products!$E$2:$E$9,MATCH(E407,Products!$A$2:$A$9,0))</f>
        <v>18</v>
      </c>
      <c r="M407" s="8" t="n">
        <f aca="false">K407-L407</f>
        <v>90</v>
      </c>
      <c r="N407" s="2" t="s">
        <v>19</v>
      </c>
      <c r="O407" s="2" t="s">
        <v>36</v>
      </c>
    </row>
    <row r="408" customFormat="false" ht="15" hidden="false" customHeight="false" outlineLevel="0" collapsed="false">
      <c r="A408" s="2" t="s">
        <v>462</v>
      </c>
      <c r="B408" s="3" t="n">
        <v>45826</v>
      </c>
      <c r="C408" s="2" t="s">
        <v>16</v>
      </c>
      <c r="D408" s="2" t="s">
        <v>25</v>
      </c>
      <c r="E408" s="2" t="s">
        <v>26</v>
      </c>
      <c r="F408" s="4" t="str">
        <f aca="false">INDEX(Products!$B$2:$B$9,MATCH(E408,Products!$A$2:$A$9,0))</f>
        <v>Analytics Basic</v>
      </c>
      <c r="G408" s="4" t="str">
        <f aca="false">INDEX(Products!$C$2:$C$9,MATCH(E408,Products!$A$2:$A$9,0))</f>
        <v>Software</v>
      </c>
      <c r="H408" s="5" t="n">
        <v>1</v>
      </c>
      <c r="I408" s="6" t="n">
        <f aca="false">INDEX(Products!$D$2:$D$9,MATCH(E408,Products!$A$2:$A$9,0))</f>
        <v>120</v>
      </c>
      <c r="J408" s="7" t="n">
        <v>0.1</v>
      </c>
      <c r="K408" s="8" t="n">
        <f aca="false">H408*I408*(1-J408)</f>
        <v>108</v>
      </c>
      <c r="L408" s="6" t="n">
        <f aca="false">H408*INDEX(Products!$E$2:$E$9,MATCH(E408,Products!$A$2:$A$9,0))</f>
        <v>18</v>
      </c>
      <c r="M408" s="8" t="n">
        <f aca="false">K408-L408</f>
        <v>90</v>
      </c>
      <c r="N408" s="2" t="s">
        <v>19</v>
      </c>
      <c r="O408" s="2" t="s">
        <v>20</v>
      </c>
    </row>
    <row r="409" customFormat="false" ht="15" hidden="false" customHeight="false" outlineLevel="0" collapsed="false">
      <c r="A409" s="2" t="s">
        <v>463</v>
      </c>
      <c r="B409" s="3" t="n">
        <v>45826</v>
      </c>
      <c r="C409" s="2" t="s">
        <v>41</v>
      </c>
      <c r="D409" s="2" t="s">
        <v>42</v>
      </c>
      <c r="E409" s="2" t="s">
        <v>26</v>
      </c>
      <c r="F409" s="4" t="str">
        <f aca="false">INDEX(Products!$B$2:$B$9,MATCH(E409,Products!$A$2:$A$9,0))</f>
        <v>Analytics Basic</v>
      </c>
      <c r="G409" s="4" t="str">
        <f aca="false">INDEX(Products!$C$2:$C$9,MATCH(E409,Products!$A$2:$A$9,0))</f>
        <v>Software</v>
      </c>
      <c r="H409" s="5" t="n">
        <v>1</v>
      </c>
      <c r="I409" s="6" t="n">
        <f aca="false">INDEX(Products!$D$2:$D$9,MATCH(E409,Products!$A$2:$A$9,0))</f>
        <v>120</v>
      </c>
      <c r="J409" s="7" t="n">
        <v>0.15</v>
      </c>
      <c r="K409" s="8" t="n">
        <f aca="false">H409*I409*(1-J409)</f>
        <v>102</v>
      </c>
      <c r="L409" s="6" t="n">
        <f aca="false">H409*INDEX(Products!$E$2:$E$9,MATCH(E409,Products!$A$2:$A$9,0))</f>
        <v>18</v>
      </c>
      <c r="M409" s="8" t="n">
        <f aca="false">K409-L409</f>
        <v>84</v>
      </c>
      <c r="N409" s="2" t="s">
        <v>19</v>
      </c>
      <c r="O409" s="2" t="s">
        <v>43</v>
      </c>
    </row>
    <row r="410" customFormat="false" ht="15" hidden="false" customHeight="false" outlineLevel="0" collapsed="false">
      <c r="A410" s="2" t="s">
        <v>464</v>
      </c>
      <c r="B410" s="3" t="n">
        <v>45826</v>
      </c>
      <c r="C410" s="2" t="s">
        <v>16</v>
      </c>
      <c r="D410" s="2" t="s">
        <v>17</v>
      </c>
      <c r="E410" s="2" t="s">
        <v>26</v>
      </c>
      <c r="F410" s="4" t="str">
        <f aca="false">INDEX(Products!$B$2:$B$9,MATCH(E410,Products!$A$2:$A$9,0))</f>
        <v>Analytics Basic</v>
      </c>
      <c r="G410" s="4" t="str">
        <f aca="false">INDEX(Products!$C$2:$C$9,MATCH(E410,Products!$A$2:$A$9,0))</f>
        <v>Software</v>
      </c>
      <c r="H410" s="5" t="n">
        <v>1</v>
      </c>
      <c r="I410" s="6" t="n">
        <f aca="false">INDEX(Products!$D$2:$D$9,MATCH(E410,Products!$A$2:$A$9,0))</f>
        <v>120</v>
      </c>
      <c r="J410" s="7" t="n">
        <v>0.2</v>
      </c>
      <c r="K410" s="8" t="n">
        <f aca="false">H410*I410*(1-J410)</f>
        <v>96</v>
      </c>
      <c r="L410" s="6" t="n">
        <f aca="false">H410*INDEX(Products!$E$2:$E$9,MATCH(E410,Products!$A$2:$A$9,0))</f>
        <v>18</v>
      </c>
      <c r="M410" s="8" t="n">
        <f aca="false">K410-L410</f>
        <v>78</v>
      </c>
      <c r="N410" s="2" t="s">
        <v>19</v>
      </c>
      <c r="O410" s="2" t="s">
        <v>20</v>
      </c>
    </row>
    <row r="411" customFormat="false" ht="15" hidden="false" customHeight="false" outlineLevel="0" collapsed="false">
      <c r="A411" s="2" t="s">
        <v>465</v>
      </c>
      <c r="B411" s="3" t="n">
        <v>45827</v>
      </c>
      <c r="C411" s="2" t="s">
        <v>16</v>
      </c>
      <c r="D411" s="2" t="s">
        <v>22</v>
      </c>
      <c r="E411" s="2" t="s">
        <v>32</v>
      </c>
      <c r="F411" s="4" t="str">
        <f aca="false">INDEX(Products!$B$2:$B$9,MATCH(E411,Products!$A$2:$A$9,0))</f>
        <v>Analytics Plus</v>
      </c>
      <c r="G411" s="4" t="str">
        <f aca="false">INDEX(Products!$C$2:$C$9,MATCH(E411,Products!$A$2:$A$9,0))</f>
        <v>Software</v>
      </c>
      <c r="H411" s="5" t="n">
        <v>5</v>
      </c>
      <c r="I411" s="6" t="n">
        <f aca="false">INDEX(Products!$D$2:$D$9,MATCH(E411,Products!$A$2:$A$9,0))</f>
        <v>290</v>
      </c>
      <c r="J411" s="7" t="n">
        <v>0.1</v>
      </c>
      <c r="K411" s="8" t="n">
        <f aca="false">H411*I411*(1-J411)</f>
        <v>1305</v>
      </c>
      <c r="L411" s="6" t="n">
        <f aca="false">H411*INDEX(Products!$E$2:$E$9,MATCH(E411,Products!$A$2:$A$9,0))</f>
        <v>205</v>
      </c>
      <c r="M411" s="8" t="n">
        <f aca="false">K411-L411</f>
        <v>1100</v>
      </c>
      <c r="N411" s="2" t="s">
        <v>19</v>
      </c>
      <c r="O411" s="2" t="s">
        <v>36</v>
      </c>
    </row>
    <row r="412" customFormat="false" ht="15" hidden="false" customHeight="false" outlineLevel="0" collapsed="false">
      <c r="A412" s="2" t="s">
        <v>466</v>
      </c>
      <c r="B412" s="3" t="n">
        <v>45827</v>
      </c>
      <c r="C412" s="2" t="s">
        <v>47</v>
      </c>
      <c r="D412" s="2" t="s">
        <v>55</v>
      </c>
      <c r="E412" s="2" t="s">
        <v>49</v>
      </c>
      <c r="F412" s="4" t="str">
        <f aca="false">INDEX(Products!$B$2:$B$9,MATCH(E412,Products!$A$2:$A$9,0))</f>
        <v>Mounting Kit</v>
      </c>
      <c r="G412" s="4" t="str">
        <f aca="false">INDEX(Products!$C$2:$C$9,MATCH(E412,Products!$A$2:$A$9,0))</f>
        <v>Accessories</v>
      </c>
      <c r="H412" s="5" t="n">
        <v>2</v>
      </c>
      <c r="I412" s="6" t="n">
        <f aca="false">INDEX(Products!$D$2:$D$9,MATCH(E412,Products!$A$2:$A$9,0))</f>
        <v>39</v>
      </c>
      <c r="J412" s="7" t="n">
        <v>0.1</v>
      </c>
      <c r="K412" s="8" t="n">
        <f aca="false">H412*I412*(1-J412)</f>
        <v>70.2</v>
      </c>
      <c r="L412" s="6" t="n">
        <f aca="false">H412*INDEX(Products!$E$2:$E$9,MATCH(E412,Products!$A$2:$A$9,0))</f>
        <v>63</v>
      </c>
      <c r="M412" s="8" t="n">
        <f aca="false">K412-L412</f>
        <v>7.2</v>
      </c>
      <c r="N412" s="2" t="s">
        <v>19</v>
      </c>
      <c r="O412" s="2" t="s">
        <v>72</v>
      </c>
    </row>
    <row r="413" customFormat="false" ht="15" hidden="false" customHeight="false" outlineLevel="0" collapsed="false">
      <c r="A413" s="2" t="s">
        <v>467</v>
      </c>
      <c r="B413" s="3" t="n">
        <v>45827</v>
      </c>
      <c r="C413" s="2" t="s">
        <v>30</v>
      </c>
      <c r="D413" s="2" t="s">
        <v>128</v>
      </c>
      <c r="E413" s="2" t="s">
        <v>26</v>
      </c>
      <c r="F413" s="4" t="str">
        <f aca="false">INDEX(Products!$B$2:$B$9,MATCH(E413,Products!$A$2:$A$9,0))</f>
        <v>Analytics Basic</v>
      </c>
      <c r="G413" s="4" t="str">
        <f aca="false">INDEX(Products!$C$2:$C$9,MATCH(E413,Products!$A$2:$A$9,0))</f>
        <v>Software</v>
      </c>
      <c r="H413" s="5" t="n">
        <v>5</v>
      </c>
      <c r="I413" s="6" t="n">
        <f aca="false">INDEX(Products!$D$2:$D$9,MATCH(E413,Products!$A$2:$A$9,0))</f>
        <v>120</v>
      </c>
      <c r="J413" s="7" t="n">
        <v>0.05</v>
      </c>
      <c r="K413" s="8" t="n">
        <f aca="false">H413*I413*(1-J413)</f>
        <v>570</v>
      </c>
      <c r="L413" s="6" t="n">
        <f aca="false">H413*INDEX(Products!$E$2:$E$9,MATCH(E413,Products!$A$2:$A$9,0))</f>
        <v>90</v>
      </c>
      <c r="M413" s="8" t="n">
        <f aca="false">K413-L413</f>
        <v>480</v>
      </c>
      <c r="N413" s="2" t="s">
        <v>38</v>
      </c>
      <c r="O413" s="2" t="s">
        <v>64</v>
      </c>
    </row>
    <row r="414" customFormat="false" ht="15" hidden="false" customHeight="false" outlineLevel="0" collapsed="false">
      <c r="A414" s="2" t="s">
        <v>468</v>
      </c>
      <c r="B414" s="3" t="n">
        <v>45827</v>
      </c>
      <c r="C414" s="2" t="s">
        <v>41</v>
      </c>
      <c r="D414" s="2" t="s">
        <v>42</v>
      </c>
      <c r="E414" s="2" t="s">
        <v>26</v>
      </c>
      <c r="F414" s="4" t="str">
        <f aca="false">INDEX(Products!$B$2:$B$9,MATCH(E414,Products!$A$2:$A$9,0))</f>
        <v>Analytics Basic</v>
      </c>
      <c r="G414" s="4" t="str">
        <f aca="false">INDEX(Products!$C$2:$C$9,MATCH(E414,Products!$A$2:$A$9,0))</f>
        <v>Software</v>
      </c>
      <c r="H414" s="5" t="n">
        <v>5</v>
      </c>
      <c r="I414" s="6" t="n">
        <f aca="false">INDEX(Products!$D$2:$D$9,MATCH(E414,Products!$A$2:$A$9,0))</f>
        <v>120</v>
      </c>
      <c r="J414" s="7" t="n">
        <v>0.1</v>
      </c>
      <c r="K414" s="8" t="n">
        <f aca="false">H414*I414*(1-J414)</f>
        <v>540</v>
      </c>
      <c r="L414" s="6" t="n">
        <f aca="false">H414*INDEX(Products!$E$2:$E$9,MATCH(E414,Products!$A$2:$A$9,0))</f>
        <v>90</v>
      </c>
      <c r="M414" s="8" t="n">
        <f aca="false">K414-L414</f>
        <v>450</v>
      </c>
      <c r="N414" s="2" t="s">
        <v>19</v>
      </c>
      <c r="O414" s="2" t="s">
        <v>52</v>
      </c>
    </row>
    <row r="415" customFormat="false" ht="15" hidden="false" customHeight="false" outlineLevel="0" collapsed="false">
      <c r="A415" s="2" t="s">
        <v>469</v>
      </c>
      <c r="B415" s="3" t="n">
        <v>45828</v>
      </c>
      <c r="C415" s="2" t="s">
        <v>16</v>
      </c>
      <c r="D415" s="2" t="s">
        <v>35</v>
      </c>
      <c r="E415" s="2" t="s">
        <v>68</v>
      </c>
      <c r="F415" s="4" t="str">
        <f aca="false">INDEX(Products!$B$2:$B$9,MATCH(E415,Products!$A$2:$A$9,0))</f>
        <v>Premium Support</v>
      </c>
      <c r="G415" s="4" t="str">
        <f aca="false">INDEX(Products!$C$2:$C$9,MATCH(E415,Products!$A$2:$A$9,0))</f>
        <v>Services</v>
      </c>
      <c r="H415" s="5" t="n">
        <v>2</v>
      </c>
      <c r="I415" s="6" t="n">
        <f aca="false">INDEX(Products!$D$2:$D$9,MATCH(E415,Products!$A$2:$A$9,0))</f>
        <v>600</v>
      </c>
      <c r="J415" s="7" t="n">
        <v>0.2</v>
      </c>
      <c r="K415" s="8" t="n">
        <f aca="false">H415*I415*(1-J415)</f>
        <v>960</v>
      </c>
      <c r="L415" s="6" t="n">
        <f aca="false">H415*INDEX(Products!$E$2:$E$9,MATCH(E415,Products!$A$2:$A$9,0))</f>
        <v>790</v>
      </c>
      <c r="M415" s="8" t="n">
        <f aca="false">K415-L415</f>
        <v>170</v>
      </c>
      <c r="N415" s="2" t="s">
        <v>19</v>
      </c>
      <c r="O415" s="2" t="s">
        <v>20</v>
      </c>
    </row>
    <row r="416" customFormat="false" ht="15" hidden="false" customHeight="false" outlineLevel="0" collapsed="false">
      <c r="A416" s="2" t="s">
        <v>470</v>
      </c>
      <c r="B416" s="3" t="n">
        <v>45828</v>
      </c>
      <c r="C416" s="2" t="s">
        <v>47</v>
      </c>
      <c r="D416" s="2" t="s">
        <v>55</v>
      </c>
      <c r="E416" s="2" t="s">
        <v>18</v>
      </c>
      <c r="F416" s="4" t="str">
        <f aca="false">INDEX(Products!$B$2:$B$9,MATCH(E416,Products!$A$2:$A$9,0))</f>
        <v>Sensor Hub Pro</v>
      </c>
      <c r="G416" s="4" t="str">
        <f aca="false">INDEX(Products!$C$2:$C$9,MATCH(E416,Products!$A$2:$A$9,0))</f>
        <v>Hardware</v>
      </c>
      <c r="H416" s="5" t="n">
        <v>2</v>
      </c>
      <c r="I416" s="6" t="n">
        <f aca="false">INDEX(Products!$D$2:$D$9,MATCH(E416,Products!$A$2:$A$9,0))</f>
        <v>349</v>
      </c>
      <c r="J416" s="7" t="n">
        <v>0.15</v>
      </c>
      <c r="K416" s="8" t="n">
        <f aca="false">H416*I416*(1-J416)</f>
        <v>593.3</v>
      </c>
      <c r="L416" s="6" t="n">
        <f aca="false">H416*INDEX(Products!$E$2:$E$9,MATCH(E416,Products!$A$2:$A$9,0))</f>
        <v>402</v>
      </c>
      <c r="M416" s="8" t="n">
        <f aca="false">K416-L416</f>
        <v>191.3</v>
      </c>
      <c r="N416" s="2" t="s">
        <v>28</v>
      </c>
      <c r="O416" s="2" t="s">
        <v>72</v>
      </c>
    </row>
    <row r="417" customFormat="false" ht="15" hidden="false" customHeight="false" outlineLevel="0" collapsed="false">
      <c r="A417" s="2" t="s">
        <v>471</v>
      </c>
      <c r="B417" s="3" t="n">
        <v>45828</v>
      </c>
      <c r="C417" s="2" t="s">
        <v>16</v>
      </c>
      <c r="D417" s="2" t="s">
        <v>35</v>
      </c>
      <c r="E417" s="2" t="s">
        <v>26</v>
      </c>
      <c r="F417" s="4" t="str">
        <f aca="false">INDEX(Products!$B$2:$B$9,MATCH(E417,Products!$A$2:$A$9,0))</f>
        <v>Analytics Basic</v>
      </c>
      <c r="G417" s="4" t="str">
        <f aca="false">INDEX(Products!$C$2:$C$9,MATCH(E417,Products!$A$2:$A$9,0))</f>
        <v>Software</v>
      </c>
      <c r="H417" s="5" t="n">
        <v>1</v>
      </c>
      <c r="I417" s="6" t="n">
        <f aca="false">INDEX(Products!$D$2:$D$9,MATCH(E417,Products!$A$2:$A$9,0))</f>
        <v>120</v>
      </c>
      <c r="J417" s="7" t="n">
        <v>0.05</v>
      </c>
      <c r="K417" s="8" t="n">
        <f aca="false">H417*I417*(1-J417)</f>
        <v>114</v>
      </c>
      <c r="L417" s="6" t="n">
        <f aca="false">H417*INDEX(Products!$E$2:$E$9,MATCH(E417,Products!$A$2:$A$9,0))</f>
        <v>18</v>
      </c>
      <c r="M417" s="8" t="n">
        <f aca="false">K417-L417</f>
        <v>96</v>
      </c>
      <c r="N417" s="2" t="s">
        <v>28</v>
      </c>
      <c r="O417" s="2" t="s">
        <v>36</v>
      </c>
    </row>
    <row r="418" customFormat="false" ht="15" hidden="false" customHeight="false" outlineLevel="0" collapsed="false">
      <c r="A418" s="2" t="s">
        <v>472</v>
      </c>
      <c r="B418" s="3" t="n">
        <v>45830</v>
      </c>
      <c r="C418" s="2" t="s">
        <v>30</v>
      </c>
      <c r="D418" s="2" t="s">
        <v>77</v>
      </c>
      <c r="E418" s="2" t="s">
        <v>18</v>
      </c>
      <c r="F418" s="4" t="str">
        <f aca="false">INDEX(Products!$B$2:$B$9,MATCH(E418,Products!$A$2:$A$9,0))</f>
        <v>Sensor Hub Pro</v>
      </c>
      <c r="G418" s="4" t="str">
        <f aca="false">INDEX(Products!$C$2:$C$9,MATCH(E418,Products!$A$2:$A$9,0))</f>
        <v>Hardware</v>
      </c>
      <c r="H418" s="5" t="n">
        <v>12</v>
      </c>
      <c r="I418" s="6" t="n">
        <f aca="false">INDEX(Products!$D$2:$D$9,MATCH(E418,Products!$A$2:$A$9,0))</f>
        <v>349</v>
      </c>
      <c r="J418" s="7" t="n">
        <v>0.15</v>
      </c>
      <c r="K418" s="8" t="n">
        <f aca="false">H418*I418*(1-J418)</f>
        <v>3559.8</v>
      </c>
      <c r="L418" s="6" t="n">
        <f aca="false">H418*INDEX(Products!$E$2:$E$9,MATCH(E418,Products!$A$2:$A$9,0))</f>
        <v>2412</v>
      </c>
      <c r="M418" s="8" t="n">
        <f aca="false">K418-L418</f>
        <v>1147.8</v>
      </c>
      <c r="N418" s="2" t="s">
        <v>28</v>
      </c>
      <c r="O418" s="2" t="s">
        <v>64</v>
      </c>
    </row>
    <row r="419" customFormat="false" ht="15" hidden="false" customHeight="false" outlineLevel="0" collapsed="false">
      <c r="A419" s="2" t="s">
        <v>473</v>
      </c>
      <c r="B419" s="3" t="n">
        <v>45831</v>
      </c>
      <c r="C419" s="2" t="s">
        <v>16</v>
      </c>
      <c r="D419" s="2" t="s">
        <v>35</v>
      </c>
      <c r="E419" s="2" t="s">
        <v>18</v>
      </c>
      <c r="F419" s="4" t="str">
        <f aca="false">INDEX(Products!$B$2:$B$9,MATCH(E419,Products!$A$2:$A$9,0))</f>
        <v>Sensor Hub Pro</v>
      </c>
      <c r="G419" s="4" t="str">
        <f aca="false">INDEX(Products!$C$2:$C$9,MATCH(E419,Products!$A$2:$A$9,0))</f>
        <v>Hardware</v>
      </c>
      <c r="H419" s="5" t="n">
        <v>4</v>
      </c>
      <c r="I419" s="6" t="n">
        <f aca="false">INDEX(Products!$D$2:$D$9,MATCH(E419,Products!$A$2:$A$9,0))</f>
        <v>349</v>
      </c>
      <c r="J419" s="7" t="n">
        <v>0</v>
      </c>
      <c r="K419" s="8" t="n">
        <f aca="false">H419*I419*(1-J419)</f>
        <v>1396</v>
      </c>
      <c r="L419" s="6" t="n">
        <f aca="false">H419*INDEX(Products!$E$2:$E$9,MATCH(E419,Products!$A$2:$A$9,0))</f>
        <v>804</v>
      </c>
      <c r="M419" s="8" t="n">
        <f aca="false">K419-L419</f>
        <v>592</v>
      </c>
      <c r="N419" s="2" t="s">
        <v>28</v>
      </c>
      <c r="O419" s="2" t="s">
        <v>20</v>
      </c>
    </row>
    <row r="420" customFormat="false" ht="15" hidden="false" customHeight="false" outlineLevel="0" collapsed="false">
      <c r="A420" s="2" t="s">
        <v>474</v>
      </c>
      <c r="B420" s="3" t="n">
        <v>45831</v>
      </c>
      <c r="C420" s="2" t="s">
        <v>30</v>
      </c>
      <c r="D420" s="2" t="s">
        <v>128</v>
      </c>
      <c r="E420" s="2" t="s">
        <v>23</v>
      </c>
      <c r="F420" s="4" t="str">
        <f aca="false">INDEX(Products!$B$2:$B$9,MATCH(E420,Products!$A$2:$A$9,0))</f>
        <v>Sensor Hub S</v>
      </c>
      <c r="G420" s="4" t="str">
        <f aca="false">INDEX(Products!$C$2:$C$9,MATCH(E420,Products!$A$2:$A$9,0))</f>
        <v>Hardware</v>
      </c>
      <c r="H420" s="5" t="n">
        <v>5</v>
      </c>
      <c r="I420" s="6" t="n">
        <f aca="false">INDEX(Products!$D$2:$D$9,MATCH(E420,Products!$A$2:$A$9,0))</f>
        <v>189</v>
      </c>
      <c r="J420" s="7" t="n">
        <v>0.05</v>
      </c>
      <c r="K420" s="8" t="n">
        <f aca="false">H420*I420*(1-J420)</f>
        <v>897.75</v>
      </c>
      <c r="L420" s="6" t="n">
        <f aca="false">H420*INDEX(Products!$E$2:$E$9,MATCH(E420,Products!$A$2:$A$9,0))</f>
        <v>490</v>
      </c>
      <c r="M420" s="8" t="n">
        <f aca="false">K420-L420</f>
        <v>407.75</v>
      </c>
      <c r="N420" s="2" t="s">
        <v>38</v>
      </c>
      <c r="O420" s="2" t="s">
        <v>64</v>
      </c>
    </row>
    <row r="421" customFormat="false" ht="15" hidden="false" customHeight="false" outlineLevel="0" collapsed="false">
      <c r="A421" s="2" t="s">
        <v>475</v>
      </c>
      <c r="B421" s="3" t="n">
        <v>45831</v>
      </c>
      <c r="C421" s="2" t="s">
        <v>16</v>
      </c>
      <c r="D421" s="2" t="s">
        <v>22</v>
      </c>
      <c r="E421" s="2" t="s">
        <v>23</v>
      </c>
      <c r="F421" s="4" t="str">
        <f aca="false">INDEX(Products!$B$2:$B$9,MATCH(E421,Products!$A$2:$A$9,0))</f>
        <v>Sensor Hub S</v>
      </c>
      <c r="G421" s="4" t="str">
        <f aca="false">INDEX(Products!$C$2:$C$9,MATCH(E421,Products!$A$2:$A$9,0))</f>
        <v>Hardware</v>
      </c>
      <c r="H421" s="5" t="n">
        <v>2</v>
      </c>
      <c r="I421" s="6" t="n">
        <f aca="false">INDEX(Products!$D$2:$D$9,MATCH(E421,Products!$A$2:$A$9,0))</f>
        <v>189</v>
      </c>
      <c r="J421" s="7" t="n">
        <v>0</v>
      </c>
      <c r="K421" s="8" t="n">
        <f aca="false">H421*I421*(1-J421)</f>
        <v>378</v>
      </c>
      <c r="L421" s="6" t="n">
        <f aca="false">H421*INDEX(Products!$E$2:$E$9,MATCH(E421,Products!$A$2:$A$9,0))</f>
        <v>196</v>
      </c>
      <c r="M421" s="8" t="n">
        <f aca="false">K421-L421</f>
        <v>182</v>
      </c>
      <c r="N421" s="2" t="s">
        <v>28</v>
      </c>
      <c r="O421" s="2" t="s">
        <v>36</v>
      </c>
    </row>
    <row r="422" customFormat="false" ht="15" hidden="false" customHeight="false" outlineLevel="0" collapsed="false">
      <c r="A422" s="2" t="s">
        <v>476</v>
      </c>
      <c r="B422" s="3" t="n">
        <v>45831</v>
      </c>
      <c r="C422" s="2" t="s">
        <v>16</v>
      </c>
      <c r="D422" s="2" t="s">
        <v>17</v>
      </c>
      <c r="E422" s="2" t="s">
        <v>57</v>
      </c>
      <c r="F422" s="4" t="str">
        <f aca="false">INDEX(Products!$B$2:$B$9,MATCH(E422,Products!$A$2:$A$9,0))</f>
        <v>Edge Gateway</v>
      </c>
      <c r="G422" s="4" t="str">
        <f aca="false">INDEX(Products!$C$2:$C$9,MATCH(E422,Products!$A$2:$A$9,0))</f>
        <v>Hardware</v>
      </c>
      <c r="H422" s="5" t="n">
        <v>20</v>
      </c>
      <c r="I422" s="6" t="n">
        <f aca="false">INDEX(Products!$D$2:$D$9,MATCH(E422,Products!$A$2:$A$9,0))</f>
        <v>899</v>
      </c>
      <c r="J422" s="7" t="n">
        <v>0.2</v>
      </c>
      <c r="K422" s="8" t="n">
        <f aca="false">H422*I422*(1-J422)</f>
        <v>14384</v>
      </c>
      <c r="L422" s="6" t="n">
        <f aca="false">H422*INDEX(Products!$E$2:$E$9,MATCH(E422,Products!$A$2:$A$9,0))</f>
        <v>12240</v>
      </c>
      <c r="M422" s="8" t="n">
        <f aca="false">K422-L422</f>
        <v>2144</v>
      </c>
      <c r="N422" s="2" t="s">
        <v>19</v>
      </c>
      <c r="O422" s="2" t="s">
        <v>20</v>
      </c>
    </row>
    <row r="423" customFormat="false" ht="15" hidden="false" customHeight="false" outlineLevel="0" collapsed="false">
      <c r="A423" s="2" t="s">
        <v>477</v>
      </c>
      <c r="B423" s="3" t="n">
        <v>45832</v>
      </c>
      <c r="C423" s="2" t="s">
        <v>59</v>
      </c>
      <c r="D423" s="2" t="s">
        <v>101</v>
      </c>
      <c r="E423" s="2" t="s">
        <v>23</v>
      </c>
      <c r="F423" s="4" t="str">
        <f aca="false">INDEX(Products!$B$2:$B$9,MATCH(E423,Products!$A$2:$A$9,0))</f>
        <v>Sensor Hub S</v>
      </c>
      <c r="G423" s="4" t="str">
        <f aca="false">INDEX(Products!$C$2:$C$9,MATCH(E423,Products!$A$2:$A$9,0))</f>
        <v>Hardware</v>
      </c>
      <c r="H423" s="5" t="n">
        <v>20</v>
      </c>
      <c r="I423" s="6" t="n">
        <f aca="false">INDEX(Products!$D$2:$D$9,MATCH(E423,Products!$A$2:$A$9,0))</f>
        <v>189</v>
      </c>
      <c r="J423" s="7" t="n">
        <v>0</v>
      </c>
      <c r="K423" s="8" t="n">
        <f aca="false">H423*I423*(1-J423)</f>
        <v>3780</v>
      </c>
      <c r="L423" s="6" t="n">
        <f aca="false">H423*INDEX(Products!$E$2:$E$9,MATCH(E423,Products!$A$2:$A$9,0))</f>
        <v>1960</v>
      </c>
      <c r="M423" s="8" t="n">
        <f aca="false">K423-L423</f>
        <v>1820</v>
      </c>
      <c r="N423" s="2" t="s">
        <v>28</v>
      </c>
      <c r="O423" s="2" t="s">
        <v>62</v>
      </c>
    </row>
    <row r="424" customFormat="false" ht="15" hidden="false" customHeight="false" outlineLevel="0" collapsed="false">
      <c r="A424" s="2" t="s">
        <v>478</v>
      </c>
      <c r="B424" s="3" t="n">
        <v>45832</v>
      </c>
      <c r="C424" s="2" t="s">
        <v>16</v>
      </c>
      <c r="D424" s="2" t="s">
        <v>25</v>
      </c>
      <c r="E424" s="2" t="s">
        <v>49</v>
      </c>
      <c r="F424" s="4" t="str">
        <f aca="false">INDEX(Products!$B$2:$B$9,MATCH(E424,Products!$A$2:$A$9,0))</f>
        <v>Mounting Kit</v>
      </c>
      <c r="G424" s="4" t="str">
        <f aca="false">INDEX(Products!$C$2:$C$9,MATCH(E424,Products!$A$2:$A$9,0))</f>
        <v>Accessories</v>
      </c>
      <c r="H424" s="5" t="n">
        <v>1</v>
      </c>
      <c r="I424" s="6" t="n">
        <f aca="false">INDEX(Products!$D$2:$D$9,MATCH(E424,Products!$A$2:$A$9,0))</f>
        <v>39</v>
      </c>
      <c r="J424" s="7" t="n">
        <v>0.05</v>
      </c>
      <c r="K424" s="8" t="n">
        <f aca="false">H424*I424*(1-J424)</f>
        <v>37.05</v>
      </c>
      <c r="L424" s="6" t="n">
        <f aca="false">H424*INDEX(Products!$E$2:$E$9,MATCH(E424,Products!$A$2:$A$9,0))</f>
        <v>31.5</v>
      </c>
      <c r="M424" s="8" t="n">
        <f aca="false">K424-L424</f>
        <v>5.55</v>
      </c>
      <c r="N424" s="2" t="s">
        <v>28</v>
      </c>
      <c r="O424" s="2" t="s">
        <v>20</v>
      </c>
    </row>
    <row r="425" customFormat="false" ht="15" hidden="false" customHeight="false" outlineLevel="0" collapsed="false">
      <c r="A425" s="2" t="s">
        <v>479</v>
      </c>
      <c r="B425" s="3" t="n">
        <v>45832</v>
      </c>
      <c r="C425" s="2" t="s">
        <v>47</v>
      </c>
      <c r="D425" s="2" t="s">
        <v>48</v>
      </c>
      <c r="E425" s="2" t="s">
        <v>57</v>
      </c>
      <c r="F425" s="4" t="str">
        <f aca="false">INDEX(Products!$B$2:$B$9,MATCH(E425,Products!$A$2:$A$9,0))</f>
        <v>Edge Gateway</v>
      </c>
      <c r="G425" s="4" t="str">
        <f aca="false">INDEX(Products!$C$2:$C$9,MATCH(E425,Products!$A$2:$A$9,0))</f>
        <v>Hardware</v>
      </c>
      <c r="H425" s="5" t="n">
        <v>5</v>
      </c>
      <c r="I425" s="6" t="n">
        <f aca="false">INDEX(Products!$D$2:$D$9,MATCH(E425,Products!$A$2:$A$9,0))</f>
        <v>899</v>
      </c>
      <c r="J425" s="7" t="n">
        <v>0</v>
      </c>
      <c r="K425" s="8" t="n">
        <f aca="false">H425*I425*(1-J425)</f>
        <v>4495</v>
      </c>
      <c r="L425" s="6" t="n">
        <f aca="false">H425*INDEX(Products!$E$2:$E$9,MATCH(E425,Products!$A$2:$A$9,0))</f>
        <v>3060</v>
      </c>
      <c r="M425" s="8" t="n">
        <f aca="false">K425-L425</f>
        <v>1435</v>
      </c>
      <c r="N425" s="2" t="s">
        <v>28</v>
      </c>
      <c r="O425" s="2" t="s">
        <v>50</v>
      </c>
    </row>
    <row r="426" customFormat="false" ht="15" hidden="false" customHeight="false" outlineLevel="0" collapsed="false">
      <c r="A426" s="2" t="s">
        <v>480</v>
      </c>
      <c r="B426" s="3" t="n">
        <v>45832</v>
      </c>
      <c r="C426" s="2" t="s">
        <v>16</v>
      </c>
      <c r="D426" s="2" t="s">
        <v>22</v>
      </c>
      <c r="E426" s="2" t="s">
        <v>49</v>
      </c>
      <c r="F426" s="4" t="str">
        <f aca="false">INDEX(Products!$B$2:$B$9,MATCH(E426,Products!$A$2:$A$9,0))</f>
        <v>Mounting Kit</v>
      </c>
      <c r="G426" s="4" t="str">
        <f aca="false">INDEX(Products!$C$2:$C$9,MATCH(E426,Products!$A$2:$A$9,0))</f>
        <v>Accessories</v>
      </c>
      <c r="H426" s="5" t="n">
        <v>1</v>
      </c>
      <c r="I426" s="6" t="n">
        <f aca="false">INDEX(Products!$D$2:$D$9,MATCH(E426,Products!$A$2:$A$9,0))</f>
        <v>39</v>
      </c>
      <c r="J426" s="7" t="n">
        <v>0.15</v>
      </c>
      <c r="K426" s="8" t="n">
        <f aca="false">H426*I426*(1-J426)</f>
        <v>33.15</v>
      </c>
      <c r="L426" s="6" t="n">
        <f aca="false">H426*INDEX(Products!$E$2:$E$9,MATCH(E426,Products!$A$2:$A$9,0))</f>
        <v>31.5</v>
      </c>
      <c r="M426" s="8" t="n">
        <f aca="false">K426-L426</f>
        <v>1.65</v>
      </c>
      <c r="N426" s="2" t="s">
        <v>19</v>
      </c>
      <c r="O426" s="2" t="s">
        <v>20</v>
      </c>
    </row>
    <row r="427" customFormat="false" ht="15" hidden="false" customHeight="false" outlineLevel="0" collapsed="false">
      <c r="A427" s="2" t="s">
        <v>481</v>
      </c>
      <c r="B427" s="3" t="n">
        <v>45833</v>
      </c>
      <c r="C427" s="2" t="s">
        <v>47</v>
      </c>
      <c r="D427" s="2" t="s">
        <v>71</v>
      </c>
      <c r="E427" s="2" t="s">
        <v>49</v>
      </c>
      <c r="F427" s="4" t="str">
        <f aca="false">INDEX(Products!$B$2:$B$9,MATCH(E427,Products!$A$2:$A$9,0))</f>
        <v>Mounting Kit</v>
      </c>
      <c r="G427" s="4" t="str">
        <f aca="false">INDEX(Products!$C$2:$C$9,MATCH(E427,Products!$A$2:$A$9,0))</f>
        <v>Accessories</v>
      </c>
      <c r="H427" s="5" t="n">
        <v>8</v>
      </c>
      <c r="I427" s="6" t="n">
        <f aca="false">INDEX(Products!$D$2:$D$9,MATCH(E427,Products!$A$2:$A$9,0))</f>
        <v>39</v>
      </c>
      <c r="J427" s="7" t="n">
        <v>0</v>
      </c>
      <c r="K427" s="8" t="n">
        <f aca="false">H427*I427*(1-J427)</f>
        <v>312</v>
      </c>
      <c r="L427" s="6" t="n">
        <f aca="false">H427*INDEX(Products!$E$2:$E$9,MATCH(E427,Products!$A$2:$A$9,0))</f>
        <v>252</v>
      </c>
      <c r="M427" s="8" t="n">
        <f aca="false">K427-L427</f>
        <v>60</v>
      </c>
      <c r="N427" s="2" t="s">
        <v>28</v>
      </c>
      <c r="O427" s="2" t="s">
        <v>72</v>
      </c>
    </row>
    <row r="428" customFormat="false" ht="15" hidden="false" customHeight="false" outlineLevel="0" collapsed="false">
      <c r="A428" s="2" t="s">
        <v>482</v>
      </c>
      <c r="B428" s="3" t="n">
        <v>45833</v>
      </c>
      <c r="C428" s="2" t="s">
        <v>47</v>
      </c>
      <c r="D428" s="2" t="s">
        <v>55</v>
      </c>
      <c r="E428" s="2" t="s">
        <v>32</v>
      </c>
      <c r="F428" s="4" t="str">
        <f aca="false">INDEX(Products!$B$2:$B$9,MATCH(E428,Products!$A$2:$A$9,0))</f>
        <v>Analytics Plus</v>
      </c>
      <c r="G428" s="4" t="str">
        <f aca="false">INDEX(Products!$C$2:$C$9,MATCH(E428,Products!$A$2:$A$9,0))</f>
        <v>Software</v>
      </c>
      <c r="H428" s="5" t="n">
        <v>3</v>
      </c>
      <c r="I428" s="6" t="n">
        <f aca="false">INDEX(Products!$D$2:$D$9,MATCH(E428,Products!$A$2:$A$9,0))</f>
        <v>290</v>
      </c>
      <c r="J428" s="7" t="n">
        <v>0.15</v>
      </c>
      <c r="K428" s="8" t="n">
        <f aca="false">H428*I428*(1-J428)</f>
        <v>739.5</v>
      </c>
      <c r="L428" s="6" t="n">
        <f aca="false">H428*INDEX(Products!$E$2:$E$9,MATCH(E428,Products!$A$2:$A$9,0))</f>
        <v>123</v>
      </c>
      <c r="M428" s="8" t="n">
        <f aca="false">K428-L428</f>
        <v>616.5</v>
      </c>
      <c r="N428" s="2" t="s">
        <v>28</v>
      </c>
      <c r="O428" s="2" t="s">
        <v>50</v>
      </c>
    </row>
    <row r="429" customFormat="false" ht="15" hidden="false" customHeight="false" outlineLevel="0" collapsed="false">
      <c r="A429" s="2" t="s">
        <v>483</v>
      </c>
      <c r="B429" s="3" t="n">
        <v>45833</v>
      </c>
      <c r="C429" s="2" t="s">
        <v>30</v>
      </c>
      <c r="D429" s="2" t="s">
        <v>128</v>
      </c>
      <c r="E429" s="2" t="s">
        <v>57</v>
      </c>
      <c r="F429" s="4" t="str">
        <f aca="false">INDEX(Products!$B$2:$B$9,MATCH(E429,Products!$A$2:$A$9,0))</f>
        <v>Edge Gateway</v>
      </c>
      <c r="G429" s="4" t="str">
        <f aca="false">INDEX(Products!$C$2:$C$9,MATCH(E429,Products!$A$2:$A$9,0))</f>
        <v>Hardware</v>
      </c>
      <c r="H429" s="5" t="n">
        <v>10</v>
      </c>
      <c r="I429" s="6" t="n">
        <f aca="false">INDEX(Products!$D$2:$D$9,MATCH(E429,Products!$A$2:$A$9,0))</f>
        <v>899</v>
      </c>
      <c r="J429" s="7" t="n">
        <v>0.25</v>
      </c>
      <c r="K429" s="8" t="n">
        <f aca="false">H429*I429*(1-J429)</f>
        <v>6742.5</v>
      </c>
      <c r="L429" s="6" t="n">
        <f aca="false">H429*INDEX(Products!$E$2:$E$9,MATCH(E429,Products!$A$2:$A$9,0))</f>
        <v>6120</v>
      </c>
      <c r="M429" s="8" t="n">
        <f aca="false">K429-L429</f>
        <v>622.5</v>
      </c>
      <c r="N429" s="2" t="s">
        <v>19</v>
      </c>
      <c r="O429" s="2" t="s">
        <v>33</v>
      </c>
    </row>
    <row r="430" customFormat="false" ht="15" hidden="false" customHeight="false" outlineLevel="0" collapsed="false">
      <c r="A430" s="2" t="s">
        <v>484</v>
      </c>
      <c r="B430" s="3" t="n">
        <v>45834</v>
      </c>
      <c r="C430" s="2" t="s">
        <v>47</v>
      </c>
      <c r="D430" s="2" t="s">
        <v>157</v>
      </c>
      <c r="E430" s="2" t="s">
        <v>18</v>
      </c>
      <c r="F430" s="4" t="str">
        <f aca="false">INDEX(Products!$B$2:$B$9,MATCH(E430,Products!$A$2:$A$9,0))</f>
        <v>Sensor Hub Pro</v>
      </c>
      <c r="G430" s="4" t="str">
        <f aca="false">INDEX(Products!$C$2:$C$9,MATCH(E430,Products!$A$2:$A$9,0))</f>
        <v>Hardware</v>
      </c>
      <c r="H430" s="5" t="n">
        <v>3</v>
      </c>
      <c r="I430" s="6" t="n">
        <f aca="false">INDEX(Products!$D$2:$D$9,MATCH(E430,Products!$A$2:$A$9,0))</f>
        <v>349</v>
      </c>
      <c r="J430" s="7" t="n">
        <v>0.05</v>
      </c>
      <c r="K430" s="8" t="n">
        <f aca="false">H430*I430*(1-J430)</f>
        <v>994.65</v>
      </c>
      <c r="L430" s="6" t="n">
        <f aca="false">H430*INDEX(Products!$E$2:$E$9,MATCH(E430,Products!$A$2:$A$9,0))</f>
        <v>603</v>
      </c>
      <c r="M430" s="8" t="n">
        <f aca="false">K430-L430</f>
        <v>391.65</v>
      </c>
      <c r="N430" s="2" t="s">
        <v>28</v>
      </c>
      <c r="O430" s="2" t="s">
        <v>72</v>
      </c>
    </row>
    <row r="431" customFormat="false" ht="15" hidden="false" customHeight="false" outlineLevel="0" collapsed="false">
      <c r="A431" s="2" t="s">
        <v>485</v>
      </c>
      <c r="B431" s="3" t="n">
        <v>45834</v>
      </c>
      <c r="C431" s="2" t="s">
        <v>59</v>
      </c>
      <c r="D431" s="2" t="s">
        <v>60</v>
      </c>
      <c r="E431" s="2" t="s">
        <v>23</v>
      </c>
      <c r="F431" s="4" t="str">
        <f aca="false">INDEX(Products!$B$2:$B$9,MATCH(E431,Products!$A$2:$A$9,0))</f>
        <v>Sensor Hub S</v>
      </c>
      <c r="G431" s="4" t="str">
        <f aca="false">INDEX(Products!$C$2:$C$9,MATCH(E431,Products!$A$2:$A$9,0))</f>
        <v>Hardware</v>
      </c>
      <c r="H431" s="5" t="n">
        <v>20</v>
      </c>
      <c r="I431" s="6" t="n">
        <f aca="false">INDEX(Products!$D$2:$D$9,MATCH(E431,Products!$A$2:$A$9,0))</f>
        <v>189</v>
      </c>
      <c r="J431" s="7" t="n">
        <v>0.05</v>
      </c>
      <c r="K431" s="8" t="n">
        <f aca="false">H431*I431*(1-J431)</f>
        <v>3591</v>
      </c>
      <c r="L431" s="6" t="n">
        <f aca="false">H431*INDEX(Products!$E$2:$E$9,MATCH(E431,Products!$A$2:$A$9,0))</f>
        <v>1960</v>
      </c>
      <c r="M431" s="8" t="n">
        <f aca="false">K431-L431</f>
        <v>1631</v>
      </c>
      <c r="N431" s="2" t="s">
        <v>28</v>
      </c>
      <c r="O431" s="2" t="s">
        <v>62</v>
      </c>
    </row>
    <row r="432" customFormat="false" ht="15" hidden="false" customHeight="false" outlineLevel="0" collapsed="false">
      <c r="A432" s="2" t="s">
        <v>486</v>
      </c>
      <c r="B432" s="3" t="n">
        <v>45834</v>
      </c>
      <c r="C432" s="2" t="s">
        <v>41</v>
      </c>
      <c r="D432" s="2" t="s">
        <v>66</v>
      </c>
      <c r="E432" s="2" t="s">
        <v>49</v>
      </c>
      <c r="F432" s="4" t="str">
        <f aca="false">INDEX(Products!$B$2:$B$9,MATCH(E432,Products!$A$2:$A$9,0))</f>
        <v>Mounting Kit</v>
      </c>
      <c r="G432" s="4" t="str">
        <f aca="false">INDEX(Products!$C$2:$C$9,MATCH(E432,Products!$A$2:$A$9,0))</f>
        <v>Accessories</v>
      </c>
      <c r="H432" s="5" t="n">
        <v>12</v>
      </c>
      <c r="I432" s="6" t="n">
        <f aca="false">INDEX(Products!$D$2:$D$9,MATCH(E432,Products!$A$2:$A$9,0))</f>
        <v>39</v>
      </c>
      <c r="J432" s="7" t="n">
        <v>0.25</v>
      </c>
      <c r="K432" s="8" t="n">
        <f aca="false">H432*I432*(1-J432)</f>
        <v>351</v>
      </c>
      <c r="L432" s="6" t="n">
        <f aca="false">H432*INDEX(Products!$E$2:$E$9,MATCH(E432,Products!$A$2:$A$9,0))</f>
        <v>378</v>
      </c>
      <c r="M432" s="8" t="n">
        <f aca="false">K432-L432</f>
        <v>-27</v>
      </c>
      <c r="N432" s="2" t="s">
        <v>19</v>
      </c>
      <c r="O432" s="2" t="s">
        <v>52</v>
      </c>
    </row>
    <row r="433" customFormat="false" ht="15" hidden="false" customHeight="false" outlineLevel="0" collapsed="false">
      <c r="A433" s="2" t="s">
        <v>487</v>
      </c>
      <c r="B433" s="3" t="n">
        <v>45835</v>
      </c>
      <c r="C433" s="2" t="s">
        <v>59</v>
      </c>
      <c r="D433" s="2" t="s">
        <v>91</v>
      </c>
      <c r="E433" s="2" t="s">
        <v>49</v>
      </c>
      <c r="F433" s="4" t="str">
        <f aca="false">INDEX(Products!$B$2:$B$9,MATCH(E433,Products!$A$2:$A$9,0))</f>
        <v>Mounting Kit</v>
      </c>
      <c r="G433" s="4" t="str">
        <f aca="false">INDEX(Products!$C$2:$C$9,MATCH(E433,Products!$A$2:$A$9,0))</f>
        <v>Accessories</v>
      </c>
      <c r="H433" s="5" t="n">
        <v>2</v>
      </c>
      <c r="I433" s="6" t="n">
        <f aca="false">INDEX(Products!$D$2:$D$9,MATCH(E433,Products!$A$2:$A$9,0))</f>
        <v>39</v>
      </c>
      <c r="J433" s="7" t="n">
        <v>0.05</v>
      </c>
      <c r="K433" s="8" t="n">
        <f aca="false">H433*I433*(1-J433)</f>
        <v>74.1</v>
      </c>
      <c r="L433" s="6" t="n">
        <f aca="false">H433*INDEX(Products!$E$2:$E$9,MATCH(E433,Products!$A$2:$A$9,0))</f>
        <v>63</v>
      </c>
      <c r="M433" s="8" t="n">
        <f aca="false">K433-L433</f>
        <v>11.1</v>
      </c>
      <c r="N433" s="2" t="s">
        <v>28</v>
      </c>
      <c r="O433" s="2" t="s">
        <v>62</v>
      </c>
    </row>
    <row r="434" customFormat="false" ht="15" hidden="false" customHeight="false" outlineLevel="0" collapsed="false">
      <c r="A434" s="2" t="s">
        <v>488</v>
      </c>
      <c r="B434" s="3" t="n">
        <v>45835</v>
      </c>
      <c r="C434" s="2" t="s">
        <v>30</v>
      </c>
      <c r="D434" s="2" t="s">
        <v>31</v>
      </c>
      <c r="E434" s="2" t="s">
        <v>23</v>
      </c>
      <c r="F434" s="4" t="str">
        <f aca="false">INDEX(Products!$B$2:$B$9,MATCH(E434,Products!$A$2:$A$9,0))</f>
        <v>Sensor Hub S</v>
      </c>
      <c r="G434" s="4" t="str">
        <f aca="false">INDEX(Products!$C$2:$C$9,MATCH(E434,Products!$A$2:$A$9,0))</f>
        <v>Hardware</v>
      </c>
      <c r="H434" s="5" t="n">
        <v>4</v>
      </c>
      <c r="I434" s="6" t="n">
        <f aca="false">INDEX(Products!$D$2:$D$9,MATCH(E434,Products!$A$2:$A$9,0))</f>
        <v>189</v>
      </c>
      <c r="J434" s="7" t="n">
        <v>0.05</v>
      </c>
      <c r="K434" s="8" t="n">
        <f aca="false">H434*I434*(1-J434)</f>
        <v>718.2</v>
      </c>
      <c r="L434" s="6" t="n">
        <f aca="false">H434*INDEX(Products!$E$2:$E$9,MATCH(E434,Products!$A$2:$A$9,0))</f>
        <v>392</v>
      </c>
      <c r="M434" s="8" t="n">
        <f aca="false">K434-L434</f>
        <v>326.2</v>
      </c>
      <c r="N434" s="2" t="s">
        <v>38</v>
      </c>
      <c r="O434" s="2" t="s">
        <v>64</v>
      </c>
    </row>
    <row r="435" customFormat="false" ht="15" hidden="false" customHeight="false" outlineLevel="0" collapsed="false">
      <c r="A435" s="2" t="s">
        <v>489</v>
      </c>
      <c r="B435" s="3" t="n">
        <v>45835</v>
      </c>
      <c r="C435" s="2" t="s">
        <v>30</v>
      </c>
      <c r="D435" s="2" t="s">
        <v>77</v>
      </c>
      <c r="E435" s="2" t="s">
        <v>68</v>
      </c>
      <c r="F435" s="4" t="str">
        <f aca="false">INDEX(Products!$B$2:$B$9,MATCH(E435,Products!$A$2:$A$9,0))</f>
        <v>Premium Support</v>
      </c>
      <c r="G435" s="4" t="str">
        <f aca="false">INDEX(Products!$C$2:$C$9,MATCH(E435,Products!$A$2:$A$9,0))</f>
        <v>Services</v>
      </c>
      <c r="H435" s="5" t="n">
        <v>2</v>
      </c>
      <c r="I435" s="6" t="n">
        <f aca="false">INDEX(Products!$D$2:$D$9,MATCH(E435,Products!$A$2:$A$9,0))</f>
        <v>600</v>
      </c>
      <c r="J435" s="7" t="n">
        <v>0.1</v>
      </c>
      <c r="K435" s="8" t="n">
        <f aca="false">H435*I435*(1-J435)</f>
        <v>1080</v>
      </c>
      <c r="L435" s="6" t="n">
        <f aca="false">H435*INDEX(Products!$E$2:$E$9,MATCH(E435,Products!$A$2:$A$9,0))</f>
        <v>790</v>
      </c>
      <c r="M435" s="8" t="n">
        <f aca="false">K435-L435</f>
        <v>290</v>
      </c>
      <c r="N435" s="2" t="s">
        <v>19</v>
      </c>
      <c r="O435" s="2" t="s">
        <v>64</v>
      </c>
    </row>
    <row r="436" customFormat="false" ht="15" hidden="false" customHeight="false" outlineLevel="0" collapsed="false">
      <c r="A436" s="2" t="s">
        <v>490</v>
      </c>
      <c r="B436" s="3" t="n">
        <v>45835</v>
      </c>
      <c r="C436" s="2" t="s">
        <v>16</v>
      </c>
      <c r="D436" s="2" t="s">
        <v>17</v>
      </c>
      <c r="E436" s="2" t="s">
        <v>18</v>
      </c>
      <c r="F436" s="4" t="str">
        <f aca="false">INDEX(Products!$B$2:$B$9,MATCH(E436,Products!$A$2:$A$9,0))</f>
        <v>Sensor Hub Pro</v>
      </c>
      <c r="G436" s="4" t="str">
        <f aca="false">INDEX(Products!$C$2:$C$9,MATCH(E436,Products!$A$2:$A$9,0))</f>
        <v>Hardware</v>
      </c>
      <c r="H436" s="5" t="n">
        <v>2</v>
      </c>
      <c r="I436" s="6" t="n">
        <f aca="false">INDEX(Products!$D$2:$D$9,MATCH(E436,Products!$A$2:$A$9,0))</f>
        <v>349</v>
      </c>
      <c r="J436" s="7" t="n">
        <v>0.05</v>
      </c>
      <c r="K436" s="8" t="n">
        <f aca="false">H436*I436*(1-J436)</f>
        <v>663.1</v>
      </c>
      <c r="L436" s="6" t="n">
        <f aca="false">H436*INDEX(Products!$E$2:$E$9,MATCH(E436,Products!$A$2:$A$9,0))</f>
        <v>402</v>
      </c>
      <c r="M436" s="8" t="n">
        <f aca="false">K436-L436</f>
        <v>261.1</v>
      </c>
      <c r="N436" s="2" t="s">
        <v>28</v>
      </c>
      <c r="O436" s="2" t="s">
        <v>20</v>
      </c>
    </row>
    <row r="437" customFormat="false" ht="15" hidden="false" customHeight="false" outlineLevel="0" collapsed="false">
      <c r="A437" s="2" t="s">
        <v>491</v>
      </c>
      <c r="B437" s="3" t="n">
        <v>45836</v>
      </c>
      <c r="C437" s="2" t="s">
        <v>41</v>
      </c>
      <c r="D437" s="2" t="s">
        <v>42</v>
      </c>
      <c r="E437" s="2" t="s">
        <v>49</v>
      </c>
      <c r="F437" s="4" t="str">
        <f aca="false">INDEX(Products!$B$2:$B$9,MATCH(E437,Products!$A$2:$A$9,0))</f>
        <v>Mounting Kit</v>
      </c>
      <c r="G437" s="4" t="str">
        <f aca="false">INDEX(Products!$C$2:$C$9,MATCH(E437,Products!$A$2:$A$9,0))</f>
        <v>Accessories</v>
      </c>
      <c r="H437" s="5" t="n">
        <v>4</v>
      </c>
      <c r="I437" s="6" t="n">
        <f aca="false">INDEX(Products!$D$2:$D$9,MATCH(E437,Products!$A$2:$A$9,0))</f>
        <v>39</v>
      </c>
      <c r="J437" s="7" t="n">
        <v>0</v>
      </c>
      <c r="K437" s="8" t="n">
        <f aca="false">H437*I437*(1-J437)</f>
        <v>156</v>
      </c>
      <c r="L437" s="6" t="n">
        <f aca="false">H437*INDEX(Products!$E$2:$E$9,MATCH(E437,Products!$A$2:$A$9,0))</f>
        <v>126</v>
      </c>
      <c r="M437" s="8" t="n">
        <f aca="false">K437-L437</f>
        <v>30</v>
      </c>
      <c r="N437" s="2" t="s">
        <v>28</v>
      </c>
      <c r="O437" s="2" t="s">
        <v>43</v>
      </c>
    </row>
    <row r="438" customFormat="false" ht="15" hidden="false" customHeight="false" outlineLevel="0" collapsed="false">
      <c r="A438" s="2" t="s">
        <v>492</v>
      </c>
      <c r="B438" s="3" t="n">
        <v>45838</v>
      </c>
      <c r="C438" s="2" t="s">
        <v>47</v>
      </c>
      <c r="D438" s="2" t="s">
        <v>157</v>
      </c>
      <c r="E438" s="2" t="s">
        <v>49</v>
      </c>
      <c r="F438" s="4" t="str">
        <f aca="false">INDEX(Products!$B$2:$B$9,MATCH(E438,Products!$A$2:$A$9,0))</f>
        <v>Mounting Kit</v>
      </c>
      <c r="G438" s="4" t="str">
        <f aca="false">INDEX(Products!$C$2:$C$9,MATCH(E438,Products!$A$2:$A$9,0))</f>
        <v>Accessories</v>
      </c>
      <c r="H438" s="5" t="n">
        <v>5</v>
      </c>
      <c r="I438" s="6" t="n">
        <f aca="false">INDEX(Products!$D$2:$D$9,MATCH(E438,Products!$A$2:$A$9,0))</f>
        <v>39</v>
      </c>
      <c r="J438" s="7" t="n">
        <v>0.1</v>
      </c>
      <c r="K438" s="8" t="n">
        <f aca="false">H438*I438*(1-J438)</f>
        <v>175.5</v>
      </c>
      <c r="L438" s="6" t="n">
        <f aca="false">H438*INDEX(Products!$E$2:$E$9,MATCH(E438,Products!$A$2:$A$9,0))</f>
        <v>157.5</v>
      </c>
      <c r="M438" s="8" t="n">
        <f aca="false">K438-L438</f>
        <v>18</v>
      </c>
      <c r="N438" s="2" t="s">
        <v>19</v>
      </c>
      <c r="O438" s="2" t="s">
        <v>50</v>
      </c>
    </row>
    <row r="439" customFormat="false" ht="15" hidden="false" customHeight="false" outlineLevel="0" collapsed="false">
      <c r="A439" s="2" t="s">
        <v>493</v>
      </c>
      <c r="B439" s="3" t="n">
        <v>45838</v>
      </c>
      <c r="C439" s="2" t="s">
        <v>16</v>
      </c>
      <c r="D439" s="2" t="s">
        <v>35</v>
      </c>
      <c r="E439" s="2" t="s">
        <v>23</v>
      </c>
      <c r="F439" s="4" t="str">
        <f aca="false">INDEX(Products!$B$2:$B$9,MATCH(E439,Products!$A$2:$A$9,0))</f>
        <v>Sensor Hub S</v>
      </c>
      <c r="G439" s="4" t="str">
        <f aca="false">INDEX(Products!$C$2:$C$9,MATCH(E439,Products!$A$2:$A$9,0))</f>
        <v>Hardware</v>
      </c>
      <c r="H439" s="5" t="n">
        <v>5</v>
      </c>
      <c r="I439" s="6" t="n">
        <f aca="false">INDEX(Products!$D$2:$D$9,MATCH(E439,Products!$A$2:$A$9,0))</f>
        <v>189</v>
      </c>
      <c r="J439" s="7" t="n">
        <v>0.15</v>
      </c>
      <c r="K439" s="8" t="n">
        <f aca="false">H439*I439*(1-J439)</f>
        <v>803.25</v>
      </c>
      <c r="L439" s="6" t="n">
        <f aca="false">H439*INDEX(Products!$E$2:$E$9,MATCH(E439,Products!$A$2:$A$9,0))</f>
        <v>490</v>
      </c>
      <c r="M439" s="8" t="n">
        <f aca="false">K439-L439</f>
        <v>313.25</v>
      </c>
      <c r="N439" s="2" t="s">
        <v>19</v>
      </c>
      <c r="O439" s="2" t="s">
        <v>36</v>
      </c>
    </row>
    <row r="440" customFormat="false" ht="15" hidden="false" customHeight="false" outlineLevel="0" collapsed="false">
      <c r="A440" s="2" t="s">
        <v>494</v>
      </c>
      <c r="B440" s="3" t="n">
        <v>45838</v>
      </c>
      <c r="C440" s="2" t="s">
        <v>41</v>
      </c>
      <c r="D440" s="2" t="s">
        <v>42</v>
      </c>
      <c r="E440" s="2" t="s">
        <v>26</v>
      </c>
      <c r="F440" s="4" t="str">
        <f aca="false">INDEX(Products!$B$2:$B$9,MATCH(E440,Products!$A$2:$A$9,0))</f>
        <v>Analytics Basic</v>
      </c>
      <c r="G440" s="4" t="str">
        <f aca="false">INDEX(Products!$C$2:$C$9,MATCH(E440,Products!$A$2:$A$9,0))</f>
        <v>Software</v>
      </c>
      <c r="H440" s="5" t="n">
        <v>3</v>
      </c>
      <c r="I440" s="6" t="n">
        <f aca="false">INDEX(Products!$D$2:$D$9,MATCH(E440,Products!$A$2:$A$9,0))</f>
        <v>120</v>
      </c>
      <c r="J440" s="7" t="n">
        <v>0.1</v>
      </c>
      <c r="K440" s="8" t="n">
        <f aca="false">H440*I440*(1-J440)</f>
        <v>324</v>
      </c>
      <c r="L440" s="6" t="n">
        <f aca="false">H440*INDEX(Products!$E$2:$E$9,MATCH(E440,Products!$A$2:$A$9,0))</f>
        <v>54</v>
      </c>
      <c r="M440" s="8" t="n">
        <f aca="false">K440-L440</f>
        <v>270</v>
      </c>
      <c r="N440" s="2" t="s">
        <v>19</v>
      </c>
      <c r="O440" s="2" t="s">
        <v>52</v>
      </c>
    </row>
    <row r="441" customFormat="false" ht="15" hidden="false" customHeight="false" outlineLevel="0" collapsed="false">
      <c r="A441" s="2" t="s">
        <v>495</v>
      </c>
      <c r="B441" s="3" t="n">
        <v>45838</v>
      </c>
      <c r="C441" s="2" t="s">
        <v>47</v>
      </c>
      <c r="D441" s="2" t="s">
        <v>71</v>
      </c>
      <c r="E441" s="2" t="s">
        <v>32</v>
      </c>
      <c r="F441" s="4" t="str">
        <f aca="false">INDEX(Products!$B$2:$B$9,MATCH(E441,Products!$A$2:$A$9,0))</f>
        <v>Analytics Plus</v>
      </c>
      <c r="G441" s="4" t="str">
        <f aca="false">INDEX(Products!$C$2:$C$9,MATCH(E441,Products!$A$2:$A$9,0))</f>
        <v>Software</v>
      </c>
      <c r="H441" s="5" t="n">
        <v>1</v>
      </c>
      <c r="I441" s="6" t="n">
        <f aca="false">INDEX(Products!$D$2:$D$9,MATCH(E441,Products!$A$2:$A$9,0))</f>
        <v>290</v>
      </c>
      <c r="J441" s="7" t="n">
        <v>0</v>
      </c>
      <c r="K441" s="8" t="n">
        <f aca="false">H441*I441*(1-J441)</f>
        <v>290</v>
      </c>
      <c r="L441" s="6" t="n">
        <f aca="false">H441*INDEX(Products!$E$2:$E$9,MATCH(E441,Products!$A$2:$A$9,0))</f>
        <v>41</v>
      </c>
      <c r="M441" s="8" t="n">
        <f aca="false">K441-L441</f>
        <v>249</v>
      </c>
      <c r="N441" s="2" t="s">
        <v>28</v>
      </c>
      <c r="O441" s="2" t="s">
        <v>72</v>
      </c>
    </row>
    <row r="442" customFormat="false" ht="15" hidden="false" customHeight="false" outlineLevel="0" collapsed="false">
      <c r="A442" s="2" t="s">
        <v>496</v>
      </c>
      <c r="B442" s="3" t="n">
        <v>45838</v>
      </c>
      <c r="C442" s="2" t="s">
        <v>16</v>
      </c>
      <c r="D442" s="2" t="s">
        <v>17</v>
      </c>
      <c r="E442" s="2" t="s">
        <v>18</v>
      </c>
      <c r="F442" s="4" t="str">
        <f aca="false">INDEX(Products!$B$2:$B$9,MATCH(E442,Products!$A$2:$A$9,0))</f>
        <v>Sensor Hub Pro</v>
      </c>
      <c r="G442" s="4" t="str">
        <f aca="false">INDEX(Products!$C$2:$C$9,MATCH(E442,Products!$A$2:$A$9,0))</f>
        <v>Hardware</v>
      </c>
      <c r="H442" s="5" t="n">
        <v>12</v>
      </c>
      <c r="I442" s="6" t="n">
        <f aca="false">INDEX(Products!$D$2:$D$9,MATCH(E442,Products!$A$2:$A$9,0))</f>
        <v>349</v>
      </c>
      <c r="J442" s="7" t="n">
        <v>0.05</v>
      </c>
      <c r="K442" s="8" t="n">
        <f aca="false">H442*I442*(1-J442)</f>
        <v>3978.6</v>
      </c>
      <c r="L442" s="6" t="n">
        <f aca="false">H442*INDEX(Products!$E$2:$E$9,MATCH(E442,Products!$A$2:$A$9,0))</f>
        <v>2412</v>
      </c>
      <c r="M442" s="8" t="n">
        <f aca="false">K442-L442</f>
        <v>1566.6</v>
      </c>
      <c r="N442" s="2" t="s">
        <v>28</v>
      </c>
      <c r="O442" s="2" t="s">
        <v>20</v>
      </c>
    </row>
    <row r="443" customFormat="false" ht="15" hidden="false" customHeight="false" outlineLevel="0" collapsed="false">
      <c r="A443" s="2" t="s">
        <v>497</v>
      </c>
      <c r="B443" s="3" t="n">
        <v>45839</v>
      </c>
      <c r="C443" s="2" t="s">
        <v>16</v>
      </c>
      <c r="D443" s="2" t="s">
        <v>22</v>
      </c>
      <c r="E443" s="2" t="s">
        <v>61</v>
      </c>
      <c r="F443" s="4" t="str">
        <f aca="false">INDEX(Products!$B$2:$B$9,MATCH(E443,Products!$A$2:$A$9,0))</f>
        <v>Install Service</v>
      </c>
      <c r="G443" s="4" t="str">
        <f aca="false">INDEX(Products!$C$2:$C$9,MATCH(E443,Products!$A$2:$A$9,0))</f>
        <v>Services</v>
      </c>
      <c r="H443" s="5" t="n">
        <v>1</v>
      </c>
      <c r="I443" s="6" t="n">
        <f aca="false">INDEX(Products!$D$2:$D$9,MATCH(E443,Products!$A$2:$A$9,0))</f>
        <v>450</v>
      </c>
      <c r="J443" s="7" t="n">
        <v>0</v>
      </c>
      <c r="K443" s="8" t="n">
        <f aca="false">H443*I443*(1-J443)</f>
        <v>450</v>
      </c>
      <c r="L443" s="6" t="n">
        <f aca="false">H443*INDEX(Products!$E$2:$E$9,MATCH(E443,Products!$A$2:$A$9,0))</f>
        <v>310</v>
      </c>
      <c r="M443" s="8" t="n">
        <f aca="false">K443-L443</f>
        <v>140</v>
      </c>
      <c r="N443" s="2" t="s">
        <v>28</v>
      </c>
      <c r="O443" s="2" t="s">
        <v>36</v>
      </c>
    </row>
    <row r="444" customFormat="false" ht="15" hidden="false" customHeight="false" outlineLevel="0" collapsed="false">
      <c r="A444" s="2" t="s">
        <v>498</v>
      </c>
      <c r="B444" s="3" t="n">
        <v>45840</v>
      </c>
      <c r="C444" s="2" t="s">
        <v>41</v>
      </c>
      <c r="D444" s="2" t="s">
        <v>42</v>
      </c>
      <c r="E444" s="2" t="s">
        <v>18</v>
      </c>
      <c r="F444" s="4" t="str">
        <f aca="false">INDEX(Products!$B$2:$B$9,MATCH(E444,Products!$A$2:$A$9,0))</f>
        <v>Sensor Hub Pro</v>
      </c>
      <c r="G444" s="4" t="str">
        <f aca="false">INDEX(Products!$C$2:$C$9,MATCH(E444,Products!$A$2:$A$9,0))</f>
        <v>Hardware</v>
      </c>
      <c r="H444" s="5" t="n">
        <v>1</v>
      </c>
      <c r="I444" s="6" t="n">
        <f aca="false">INDEX(Products!$D$2:$D$9,MATCH(E444,Products!$A$2:$A$9,0))</f>
        <v>349</v>
      </c>
      <c r="J444" s="7" t="n">
        <v>0</v>
      </c>
      <c r="K444" s="8" t="n">
        <f aca="false">H444*I444*(1-J444)</f>
        <v>349</v>
      </c>
      <c r="L444" s="6" t="n">
        <f aca="false">H444*INDEX(Products!$E$2:$E$9,MATCH(E444,Products!$A$2:$A$9,0))</f>
        <v>201</v>
      </c>
      <c r="M444" s="8" t="n">
        <f aca="false">K444-L444</f>
        <v>148</v>
      </c>
      <c r="N444" s="2" t="s">
        <v>28</v>
      </c>
      <c r="O444" s="2" t="s">
        <v>52</v>
      </c>
    </row>
    <row r="445" customFormat="false" ht="15" hidden="false" customHeight="false" outlineLevel="0" collapsed="false">
      <c r="A445" s="2" t="s">
        <v>499</v>
      </c>
      <c r="B445" s="3" t="n">
        <v>45840</v>
      </c>
      <c r="C445" s="2" t="s">
        <v>16</v>
      </c>
      <c r="D445" s="2" t="s">
        <v>25</v>
      </c>
      <c r="E445" s="2" t="s">
        <v>23</v>
      </c>
      <c r="F445" s="4" t="str">
        <f aca="false">INDEX(Products!$B$2:$B$9,MATCH(E445,Products!$A$2:$A$9,0))</f>
        <v>Sensor Hub S</v>
      </c>
      <c r="G445" s="4" t="str">
        <f aca="false">INDEX(Products!$C$2:$C$9,MATCH(E445,Products!$A$2:$A$9,0))</f>
        <v>Hardware</v>
      </c>
      <c r="H445" s="5" t="n">
        <v>1</v>
      </c>
      <c r="I445" s="6" t="n">
        <f aca="false">INDEX(Products!$D$2:$D$9,MATCH(E445,Products!$A$2:$A$9,0))</f>
        <v>189</v>
      </c>
      <c r="J445" s="7" t="n">
        <v>0.05</v>
      </c>
      <c r="K445" s="8" t="n">
        <f aca="false">H445*I445*(1-J445)</f>
        <v>179.55</v>
      </c>
      <c r="L445" s="6" t="n">
        <f aca="false">H445*INDEX(Products!$E$2:$E$9,MATCH(E445,Products!$A$2:$A$9,0))</f>
        <v>98</v>
      </c>
      <c r="M445" s="8" t="n">
        <f aca="false">K445-L445</f>
        <v>81.55</v>
      </c>
      <c r="N445" s="2" t="s">
        <v>28</v>
      </c>
      <c r="O445" s="2" t="s">
        <v>36</v>
      </c>
    </row>
    <row r="446" customFormat="false" ht="15" hidden="false" customHeight="false" outlineLevel="0" collapsed="false">
      <c r="A446" s="2" t="s">
        <v>500</v>
      </c>
      <c r="B446" s="3" t="n">
        <v>45840</v>
      </c>
      <c r="C446" s="2" t="s">
        <v>30</v>
      </c>
      <c r="D446" s="2" t="s">
        <v>31</v>
      </c>
      <c r="E446" s="2" t="s">
        <v>26</v>
      </c>
      <c r="F446" s="4" t="str">
        <f aca="false">INDEX(Products!$B$2:$B$9,MATCH(E446,Products!$A$2:$A$9,0))</f>
        <v>Analytics Basic</v>
      </c>
      <c r="G446" s="4" t="str">
        <f aca="false">INDEX(Products!$C$2:$C$9,MATCH(E446,Products!$A$2:$A$9,0))</f>
        <v>Software</v>
      </c>
      <c r="H446" s="5" t="n">
        <v>2</v>
      </c>
      <c r="I446" s="6" t="n">
        <f aca="false">INDEX(Products!$D$2:$D$9,MATCH(E446,Products!$A$2:$A$9,0))</f>
        <v>120</v>
      </c>
      <c r="J446" s="7" t="n">
        <v>0.05</v>
      </c>
      <c r="K446" s="8" t="n">
        <f aca="false">H446*I446*(1-J446)</f>
        <v>228</v>
      </c>
      <c r="L446" s="6" t="n">
        <f aca="false">H446*INDEX(Products!$E$2:$E$9,MATCH(E446,Products!$A$2:$A$9,0))</f>
        <v>36</v>
      </c>
      <c r="M446" s="8" t="n">
        <f aca="false">K446-L446</f>
        <v>192</v>
      </c>
      <c r="N446" s="2" t="s">
        <v>28</v>
      </c>
      <c r="O446" s="2" t="s">
        <v>33</v>
      </c>
    </row>
    <row r="447" customFormat="false" ht="15" hidden="false" customHeight="false" outlineLevel="0" collapsed="false">
      <c r="A447" s="2" t="s">
        <v>501</v>
      </c>
      <c r="B447" s="3" t="n">
        <v>45841</v>
      </c>
      <c r="C447" s="2" t="s">
        <v>30</v>
      </c>
      <c r="D447" s="2" t="s">
        <v>31</v>
      </c>
      <c r="E447" s="2" t="s">
        <v>26</v>
      </c>
      <c r="F447" s="4" t="str">
        <f aca="false">INDEX(Products!$B$2:$B$9,MATCH(E447,Products!$A$2:$A$9,0))</f>
        <v>Analytics Basic</v>
      </c>
      <c r="G447" s="4" t="str">
        <f aca="false">INDEX(Products!$C$2:$C$9,MATCH(E447,Products!$A$2:$A$9,0))</f>
        <v>Software</v>
      </c>
      <c r="H447" s="5" t="n">
        <v>5</v>
      </c>
      <c r="I447" s="6" t="n">
        <f aca="false">INDEX(Products!$D$2:$D$9,MATCH(E447,Products!$A$2:$A$9,0))</f>
        <v>120</v>
      </c>
      <c r="J447" s="7" t="n">
        <v>0.05</v>
      </c>
      <c r="K447" s="8" t="n">
        <f aca="false">H447*I447*(1-J447)</f>
        <v>570</v>
      </c>
      <c r="L447" s="6" t="n">
        <f aca="false">H447*INDEX(Products!$E$2:$E$9,MATCH(E447,Products!$A$2:$A$9,0))</f>
        <v>90</v>
      </c>
      <c r="M447" s="8" t="n">
        <f aca="false">K447-L447</f>
        <v>480</v>
      </c>
      <c r="N447" s="2" t="s">
        <v>28</v>
      </c>
      <c r="O447" s="2" t="s">
        <v>64</v>
      </c>
    </row>
    <row r="448" customFormat="false" ht="15" hidden="false" customHeight="false" outlineLevel="0" collapsed="false">
      <c r="A448" s="2" t="s">
        <v>502</v>
      </c>
      <c r="B448" s="3" t="n">
        <v>45842</v>
      </c>
      <c r="C448" s="2" t="s">
        <v>59</v>
      </c>
      <c r="D448" s="2" t="s">
        <v>60</v>
      </c>
      <c r="E448" s="2" t="s">
        <v>23</v>
      </c>
      <c r="F448" s="4" t="str">
        <f aca="false">INDEX(Products!$B$2:$B$9,MATCH(E448,Products!$A$2:$A$9,0))</f>
        <v>Sensor Hub S</v>
      </c>
      <c r="G448" s="4" t="str">
        <f aca="false">INDEX(Products!$C$2:$C$9,MATCH(E448,Products!$A$2:$A$9,0))</f>
        <v>Hardware</v>
      </c>
      <c r="H448" s="5" t="n">
        <v>2</v>
      </c>
      <c r="I448" s="6" t="n">
        <f aca="false">INDEX(Products!$D$2:$D$9,MATCH(E448,Products!$A$2:$A$9,0))</f>
        <v>189</v>
      </c>
      <c r="J448" s="7" t="n">
        <v>0</v>
      </c>
      <c r="K448" s="8" t="n">
        <f aca="false">H448*I448*(1-J448)</f>
        <v>378</v>
      </c>
      <c r="L448" s="6" t="n">
        <f aca="false">H448*INDEX(Products!$E$2:$E$9,MATCH(E448,Products!$A$2:$A$9,0))</f>
        <v>196</v>
      </c>
      <c r="M448" s="8" t="n">
        <f aca="false">K448-L448</f>
        <v>182</v>
      </c>
      <c r="N448" s="2" t="s">
        <v>38</v>
      </c>
      <c r="O448" s="2" t="s">
        <v>62</v>
      </c>
    </row>
    <row r="449" customFormat="false" ht="15" hidden="false" customHeight="false" outlineLevel="0" collapsed="false">
      <c r="A449" s="2" t="s">
        <v>503</v>
      </c>
      <c r="B449" s="3" t="n">
        <v>45842</v>
      </c>
      <c r="C449" s="2" t="s">
        <v>47</v>
      </c>
      <c r="D449" s="2" t="s">
        <v>71</v>
      </c>
      <c r="E449" s="2" t="s">
        <v>49</v>
      </c>
      <c r="F449" s="4" t="str">
        <f aca="false">INDEX(Products!$B$2:$B$9,MATCH(E449,Products!$A$2:$A$9,0))</f>
        <v>Mounting Kit</v>
      </c>
      <c r="G449" s="4" t="str">
        <f aca="false">INDEX(Products!$C$2:$C$9,MATCH(E449,Products!$A$2:$A$9,0))</f>
        <v>Accessories</v>
      </c>
      <c r="H449" s="5" t="n">
        <v>1</v>
      </c>
      <c r="I449" s="6" t="n">
        <f aca="false">INDEX(Products!$D$2:$D$9,MATCH(E449,Products!$A$2:$A$9,0))</f>
        <v>39</v>
      </c>
      <c r="J449" s="7" t="n">
        <v>0.05</v>
      </c>
      <c r="K449" s="8" t="n">
        <f aca="false">H449*I449*(1-J449)</f>
        <v>37.05</v>
      </c>
      <c r="L449" s="6" t="n">
        <f aca="false">H449*INDEX(Products!$E$2:$E$9,MATCH(E449,Products!$A$2:$A$9,0))</f>
        <v>31.5</v>
      </c>
      <c r="M449" s="8" t="n">
        <f aca="false">K449-L449</f>
        <v>5.55</v>
      </c>
      <c r="N449" s="2" t="s">
        <v>28</v>
      </c>
      <c r="O449" s="2" t="s">
        <v>72</v>
      </c>
    </row>
    <row r="450" customFormat="false" ht="15" hidden="false" customHeight="false" outlineLevel="0" collapsed="false">
      <c r="A450" s="2" t="s">
        <v>504</v>
      </c>
      <c r="B450" s="3" t="n">
        <v>45845</v>
      </c>
      <c r="C450" s="2" t="s">
        <v>16</v>
      </c>
      <c r="D450" s="2" t="s">
        <v>35</v>
      </c>
      <c r="E450" s="2" t="s">
        <v>18</v>
      </c>
      <c r="F450" s="4" t="str">
        <f aca="false">INDEX(Products!$B$2:$B$9,MATCH(E450,Products!$A$2:$A$9,0))</f>
        <v>Sensor Hub Pro</v>
      </c>
      <c r="G450" s="4" t="str">
        <f aca="false">INDEX(Products!$C$2:$C$9,MATCH(E450,Products!$A$2:$A$9,0))</f>
        <v>Hardware</v>
      </c>
      <c r="H450" s="5" t="n">
        <v>2</v>
      </c>
      <c r="I450" s="6" t="n">
        <f aca="false">INDEX(Products!$D$2:$D$9,MATCH(E450,Products!$A$2:$A$9,0))</f>
        <v>349</v>
      </c>
      <c r="J450" s="7" t="n">
        <v>0.05</v>
      </c>
      <c r="K450" s="8" t="n">
        <f aca="false">H450*I450*(1-J450)</f>
        <v>663.1</v>
      </c>
      <c r="L450" s="6" t="n">
        <f aca="false">H450*INDEX(Products!$E$2:$E$9,MATCH(E450,Products!$A$2:$A$9,0))</f>
        <v>402</v>
      </c>
      <c r="M450" s="8" t="n">
        <f aca="false">K450-L450</f>
        <v>261.1</v>
      </c>
      <c r="N450" s="2" t="s">
        <v>28</v>
      </c>
      <c r="O450" s="2" t="s">
        <v>20</v>
      </c>
    </row>
    <row r="451" customFormat="false" ht="15" hidden="false" customHeight="false" outlineLevel="0" collapsed="false">
      <c r="A451" s="2" t="s">
        <v>505</v>
      </c>
      <c r="B451" s="3" t="n">
        <v>45845</v>
      </c>
      <c r="C451" s="2" t="s">
        <v>16</v>
      </c>
      <c r="D451" s="2" t="s">
        <v>25</v>
      </c>
      <c r="E451" s="2" t="s">
        <v>23</v>
      </c>
      <c r="F451" s="4" t="str">
        <f aca="false">INDEX(Products!$B$2:$B$9,MATCH(E451,Products!$A$2:$A$9,0))</f>
        <v>Sensor Hub S</v>
      </c>
      <c r="G451" s="4" t="str">
        <f aca="false">INDEX(Products!$C$2:$C$9,MATCH(E451,Products!$A$2:$A$9,0))</f>
        <v>Hardware</v>
      </c>
      <c r="H451" s="5" t="n">
        <v>5</v>
      </c>
      <c r="I451" s="6" t="n">
        <f aca="false">INDEX(Products!$D$2:$D$9,MATCH(E451,Products!$A$2:$A$9,0))</f>
        <v>189</v>
      </c>
      <c r="J451" s="7" t="n">
        <v>0.25</v>
      </c>
      <c r="K451" s="8" t="n">
        <f aca="false">H451*I451*(1-J451)</f>
        <v>708.75</v>
      </c>
      <c r="L451" s="6" t="n">
        <f aca="false">H451*INDEX(Products!$E$2:$E$9,MATCH(E451,Products!$A$2:$A$9,0))</f>
        <v>490</v>
      </c>
      <c r="M451" s="8" t="n">
        <f aca="false">K451-L451</f>
        <v>218.75</v>
      </c>
      <c r="N451" s="2" t="s">
        <v>19</v>
      </c>
      <c r="O451" s="2" t="s">
        <v>36</v>
      </c>
    </row>
    <row r="452" customFormat="false" ht="15" hidden="false" customHeight="false" outlineLevel="0" collapsed="false">
      <c r="A452" s="2" t="s">
        <v>506</v>
      </c>
      <c r="B452" s="3" t="n">
        <v>45846</v>
      </c>
      <c r="C452" s="2" t="s">
        <v>16</v>
      </c>
      <c r="D452" s="2" t="s">
        <v>17</v>
      </c>
      <c r="E452" s="2" t="s">
        <v>68</v>
      </c>
      <c r="F452" s="4" t="str">
        <f aca="false">INDEX(Products!$B$2:$B$9,MATCH(E452,Products!$A$2:$A$9,0))</f>
        <v>Premium Support</v>
      </c>
      <c r="G452" s="4" t="str">
        <f aca="false">INDEX(Products!$C$2:$C$9,MATCH(E452,Products!$A$2:$A$9,0))</f>
        <v>Services</v>
      </c>
      <c r="H452" s="5" t="n">
        <v>5</v>
      </c>
      <c r="I452" s="6" t="n">
        <f aca="false">INDEX(Products!$D$2:$D$9,MATCH(E452,Products!$A$2:$A$9,0))</f>
        <v>600</v>
      </c>
      <c r="J452" s="7" t="n">
        <v>0.1</v>
      </c>
      <c r="K452" s="8" t="n">
        <f aca="false">H452*I452*(1-J452)</f>
        <v>2700</v>
      </c>
      <c r="L452" s="6" t="n">
        <f aca="false">H452*INDEX(Products!$E$2:$E$9,MATCH(E452,Products!$A$2:$A$9,0))</f>
        <v>1975</v>
      </c>
      <c r="M452" s="8" t="n">
        <f aca="false">K452-L452</f>
        <v>725</v>
      </c>
      <c r="N452" s="2" t="s">
        <v>19</v>
      </c>
      <c r="O452" s="2" t="s">
        <v>36</v>
      </c>
    </row>
    <row r="453" customFormat="false" ht="15" hidden="false" customHeight="false" outlineLevel="0" collapsed="false">
      <c r="A453" s="2" t="s">
        <v>507</v>
      </c>
      <c r="B453" s="3" t="n">
        <v>45846</v>
      </c>
      <c r="C453" s="2" t="s">
        <v>16</v>
      </c>
      <c r="D453" s="2" t="s">
        <v>35</v>
      </c>
      <c r="E453" s="2" t="s">
        <v>32</v>
      </c>
      <c r="F453" s="4" t="str">
        <f aca="false">INDEX(Products!$B$2:$B$9,MATCH(E453,Products!$A$2:$A$9,0))</f>
        <v>Analytics Plus</v>
      </c>
      <c r="G453" s="4" t="str">
        <f aca="false">INDEX(Products!$C$2:$C$9,MATCH(E453,Products!$A$2:$A$9,0))</f>
        <v>Software</v>
      </c>
      <c r="H453" s="5" t="n">
        <v>1</v>
      </c>
      <c r="I453" s="6" t="n">
        <f aca="false">INDEX(Products!$D$2:$D$9,MATCH(E453,Products!$A$2:$A$9,0))</f>
        <v>290</v>
      </c>
      <c r="J453" s="7" t="n">
        <v>0</v>
      </c>
      <c r="K453" s="8" t="n">
        <f aca="false">H453*I453*(1-J453)</f>
        <v>290</v>
      </c>
      <c r="L453" s="6" t="n">
        <f aca="false">H453*INDEX(Products!$E$2:$E$9,MATCH(E453,Products!$A$2:$A$9,0))</f>
        <v>41</v>
      </c>
      <c r="M453" s="8" t="n">
        <f aca="false">K453-L453</f>
        <v>249</v>
      </c>
      <c r="N453" s="2" t="s">
        <v>28</v>
      </c>
      <c r="O453" s="2" t="s">
        <v>20</v>
      </c>
    </row>
    <row r="454" customFormat="false" ht="15" hidden="false" customHeight="false" outlineLevel="0" collapsed="false">
      <c r="A454" s="2" t="s">
        <v>508</v>
      </c>
      <c r="B454" s="3" t="n">
        <v>45846</v>
      </c>
      <c r="C454" s="2" t="s">
        <v>47</v>
      </c>
      <c r="D454" s="2" t="s">
        <v>71</v>
      </c>
      <c r="E454" s="2" t="s">
        <v>49</v>
      </c>
      <c r="F454" s="4" t="str">
        <f aca="false">INDEX(Products!$B$2:$B$9,MATCH(E454,Products!$A$2:$A$9,0))</f>
        <v>Mounting Kit</v>
      </c>
      <c r="G454" s="4" t="str">
        <f aca="false">INDEX(Products!$C$2:$C$9,MATCH(E454,Products!$A$2:$A$9,0))</f>
        <v>Accessories</v>
      </c>
      <c r="H454" s="5" t="n">
        <v>3</v>
      </c>
      <c r="I454" s="6" t="n">
        <f aca="false">INDEX(Products!$D$2:$D$9,MATCH(E454,Products!$A$2:$A$9,0))</f>
        <v>39</v>
      </c>
      <c r="J454" s="7" t="n">
        <v>0.05</v>
      </c>
      <c r="K454" s="8" t="n">
        <f aca="false">H454*I454*(1-J454)</f>
        <v>111.15</v>
      </c>
      <c r="L454" s="6" t="n">
        <f aca="false">H454*INDEX(Products!$E$2:$E$9,MATCH(E454,Products!$A$2:$A$9,0))</f>
        <v>94.5</v>
      </c>
      <c r="M454" s="8" t="n">
        <f aca="false">K454-L454</f>
        <v>16.65</v>
      </c>
      <c r="N454" s="2" t="s">
        <v>28</v>
      </c>
      <c r="O454" s="2" t="s">
        <v>72</v>
      </c>
    </row>
    <row r="455" customFormat="false" ht="15" hidden="false" customHeight="false" outlineLevel="0" collapsed="false">
      <c r="A455" s="2" t="s">
        <v>509</v>
      </c>
      <c r="B455" s="3" t="n">
        <v>45847</v>
      </c>
      <c r="C455" s="2" t="s">
        <v>47</v>
      </c>
      <c r="D455" s="2" t="s">
        <v>71</v>
      </c>
      <c r="E455" s="2" t="s">
        <v>57</v>
      </c>
      <c r="F455" s="4" t="str">
        <f aca="false">INDEX(Products!$B$2:$B$9,MATCH(E455,Products!$A$2:$A$9,0))</f>
        <v>Edge Gateway</v>
      </c>
      <c r="G455" s="4" t="str">
        <f aca="false">INDEX(Products!$C$2:$C$9,MATCH(E455,Products!$A$2:$A$9,0))</f>
        <v>Hardware</v>
      </c>
      <c r="H455" s="5" t="n">
        <v>2</v>
      </c>
      <c r="I455" s="6" t="n">
        <f aca="false">INDEX(Products!$D$2:$D$9,MATCH(E455,Products!$A$2:$A$9,0))</f>
        <v>899</v>
      </c>
      <c r="J455" s="7" t="n">
        <v>0</v>
      </c>
      <c r="K455" s="8" t="n">
        <f aca="false">H455*I455*(1-J455)</f>
        <v>1798</v>
      </c>
      <c r="L455" s="6" t="n">
        <f aca="false">H455*INDEX(Products!$E$2:$E$9,MATCH(E455,Products!$A$2:$A$9,0))</f>
        <v>1224</v>
      </c>
      <c r="M455" s="8" t="n">
        <f aca="false">K455-L455</f>
        <v>574</v>
      </c>
      <c r="N455" s="2" t="s">
        <v>28</v>
      </c>
      <c r="O455" s="2" t="s">
        <v>50</v>
      </c>
    </row>
    <row r="456" customFormat="false" ht="15" hidden="false" customHeight="false" outlineLevel="0" collapsed="false">
      <c r="A456" s="2" t="s">
        <v>510</v>
      </c>
      <c r="B456" s="3" t="n">
        <v>45847</v>
      </c>
      <c r="C456" s="2" t="s">
        <v>16</v>
      </c>
      <c r="D456" s="2" t="s">
        <v>17</v>
      </c>
      <c r="E456" s="2" t="s">
        <v>68</v>
      </c>
      <c r="F456" s="4" t="str">
        <f aca="false">INDEX(Products!$B$2:$B$9,MATCH(E456,Products!$A$2:$A$9,0))</f>
        <v>Premium Support</v>
      </c>
      <c r="G456" s="4" t="str">
        <f aca="false">INDEX(Products!$C$2:$C$9,MATCH(E456,Products!$A$2:$A$9,0))</f>
        <v>Services</v>
      </c>
      <c r="H456" s="5" t="n">
        <v>3</v>
      </c>
      <c r="I456" s="6" t="n">
        <f aca="false">INDEX(Products!$D$2:$D$9,MATCH(E456,Products!$A$2:$A$9,0))</f>
        <v>600</v>
      </c>
      <c r="J456" s="7" t="n">
        <v>0.15</v>
      </c>
      <c r="K456" s="8" t="n">
        <f aca="false">H456*I456*(1-J456)</f>
        <v>1530</v>
      </c>
      <c r="L456" s="6" t="n">
        <f aca="false">H456*INDEX(Products!$E$2:$E$9,MATCH(E456,Products!$A$2:$A$9,0))</f>
        <v>1185</v>
      </c>
      <c r="M456" s="8" t="n">
        <f aca="false">K456-L456</f>
        <v>345</v>
      </c>
      <c r="N456" s="2" t="s">
        <v>28</v>
      </c>
      <c r="O456" s="2" t="s">
        <v>36</v>
      </c>
    </row>
    <row r="457" customFormat="false" ht="15" hidden="false" customHeight="false" outlineLevel="0" collapsed="false">
      <c r="A457" s="2" t="s">
        <v>511</v>
      </c>
      <c r="B457" s="3" t="n">
        <v>45847</v>
      </c>
      <c r="C457" s="2" t="s">
        <v>41</v>
      </c>
      <c r="D457" s="2" t="s">
        <v>42</v>
      </c>
      <c r="E457" s="2" t="s">
        <v>68</v>
      </c>
      <c r="F457" s="4" t="str">
        <f aca="false">INDEX(Products!$B$2:$B$9,MATCH(E457,Products!$A$2:$A$9,0))</f>
        <v>Premium Support</v>
      </c>
      <c r="G457" s="4" t="str">
        <f aca="false">INDEX(Products!$C$2:$C$9,MATCH(E457,Products!$A$2:$A$9,0))</f>
        <v>Services</v>
      </c>
      <c r="H457" s="5" t="n">
        <v>2</v>
      </c>
      <c r="I457" s="6" t="n">
        <f aca="false">INDEX(Products!$D$2:$D$9,MATCH(E457,Products!$A$2:$A$9,0))</f>
        <v>600</v>
      </c>
      <c r="J457" s="7" t="n">
        <v>0.05</v>
      </c>
      <c r="K457" s="8" t="n">
        <f aca="false">H457*I457*(1-J457)</f>
        <v>1140</v>
      </c>
      <c r="L457" s="6" t="n">
        <f aca="false">H457*INDEX(Products!$E$2:$E$9,MATCH(E457,Products!$A$2:$A$9,0))</f>
        <v>790</v>
      </c>
      <c r="M457" s="8" t="n">
        <f aca="false">K457-L457</f>
        <v>350</v>
      </c>
      <c r="N457" s="2" t="s">
        <v>38</v>
      </c>
      <c r="O457" s="2" t="s">
        <v>43</v>
      </c>
    </row>
    <row r="458" customFormat="false" ht="15" hidden="false" customHeight="false" outlineLevel="0" collapsed="false">
      <c r="A458" s="2" t="s">
        <v>512</v>
      </c>
      <c r="B458" s="3" t="n">
        <v>45848</v>
      </c>
      <c r="C458" s="2" t="s">
        <v>47</v>
      </c>
      <c r="D458" s="2" t="s">
        <v>71</v>
      </c>
      <c r="E458" s="2" t="s">
        <v>26</v>
      </c>
      <c r="F458" s="4" t="str">
        <f aca="false">INDEX(Products!$B$2:$B$9,MATCH(E458,Products!$A$2:$A$9,0))</f>
        <v>Analytics Basic</v>
      </c>
      <c r="G458" s="4" t="str">
        <f aca="false">INDEX(Products!$C$2:$C$9,MATCH(E458,Products!$A$2:$A$9,0))</f>
        <v>Software</v>
      </c>
      <c r="H458" s="5" t="n">
        <v>2</v>
      </c>
      <c r="I458" s="6" t="n">
        <f aca="false">INDEX(Products!$D$2:$D$9,MATCH(E458,Products!$A$2:$A$9,0))</f>
        <v>120</v>
      </c>
      <c r="J458" s="7" t="n">
        <v>0.1</v>
      </c>
      <c r="K458" s="8" t="n">
        <f aca="false">H458*I458*(1-J458)</f>
        <v>216</v>
      </c>
      <c r="L458" s="6" t="n">
        <f aca="false">H458*INDEX(Products!$E$2:$E$9,MATCH(E458,Products!$A$2:$A$9,0))</f>
        <v>36</v>
      </c>
      <c r="M458" s="8" t="n">
        <f aca="false">K458-L458</f>
        <v>180</v>
      </c>
      <c r="N458" s="2" t="s">
        <v>19</v>
      </c>
      <c r="O458" s="2" t="s">
        <v>50</v>
      </c>
    </row>
    <row r="459" customFormat="false" ht="15" hidden="false" customHeight="false" outlineLevel="0" collapsed="false">
      <c r="A459" s="2" t="s">
        <v>513</v>
      </c>
      <c r="B459" s="3" t="n">
        <v>45848</v>
      </c>
      <c r="C459" s="2" t="s">
        <v>16</v>
      </c>
      <c r="D459" s="2" t="s">
        <v>22</v>
      </c>
      <c r="E459" s="2" t="s">
        <v>49</v>
      </c>
      <c r="F459" s="4" t="str">
        <f aca="false">INDEX(Products!$B$2:$B$9,MATCH(E459,Products!$A$2:$A$9,0))</f>
        <v>Mounting Kit</v>
      </c>
      <c r="G459" s="4" t="str">
        <f aca="false">INDEX(Products!$C$2:$C$9,MATCH(E459,Products!$A$2:$A$9,0))</f>
        <v>Accessories</v>
      </c>
      <c r="H459" s="5" t="n">
        <v>1</v>
      </c>
      <c r="I459" s="6" t="n">
        <f aca="false">INDEX(Products!$D$2:$D$9,MATCH(E459,Products!$A$2:$A$9,0))</f>
        <v>39</v>
      </c>
      <c r="J459" s="7" t="n">
        <v>0.15</v>
      </c>
      <c r="K459" s="8" t="n">
        <f aca="false">H459*I459*(1-J459)</f>
        <v>33.15</v>
      </c>
      <c r="L459" s="6" t="n">
        <f aca="false">H459*INDEX(Products!$E$2:$E$9,MATCH(E459,Products!$A$2:$A$9,0))</f>
        <v>31.5</v>
      </c>
      <c r="M459" s="8" t="n">
        <f aca="false">K459-L459</f>
        <v>1.65</v>
      </c>
      <c r="N459" s="2" t="s">
        <v>19</v>
      </c>
      <c r="O459" s="2" t="s">
        <v>36</v>
      </c>
    </row>
    <row r="460" customFormat="false" ht="15" hidden="false" customHeight="false" outlineLevel="0" collapsed="false">
      <c r="A460" s="2" t="s">
        <v>514</v>
      </c>
      <c r="B460" s="3" t="n">
        <v>45848</v>
      </c>
      <c r="C460" s="2" t="s">
        <v>59</v>
      </c>
      <c r="D460" s="2" t="s">
        <v>101</v>
      </c>
      <c r="E460" s="2" t="s">
        <v>26</v>
      </c>
      <c r="F460" s="4" t="str">
        <f aca="false">INDEX(Products!$B$2:$B$9,MATCH(E460,Products!$A$2:$A$9,0))</f>
        <v>Analytics Basic</v>
      </c>
      <c r="G460" s="4" t="str">
        <f aca="false">INDEX(Products!$C$2:$C$9,MATCH(E460,Products!$A$2:$A$9,0))</f>
        <v>Software</v>
      </c>
      <c r="H460" s="5" t="n">
        <v>1</v>
      </c>
      <c r="I460" s="6" t="n">
        <f aca="false">INDEX(Products!$D$2:$D$9,MATCH(E460,Products!$A$2:$A$9,0))</f>
        <v>120</v>
      </c>
      <c r="J460" s="7" t="n">
        <v>0.15</v>
      </c>
      <c r="K460" s="8" t="n">
        <f aca="false">H460*I460*(1-J460)</f>
        <v>102</v>
      </c>
      <c r="L460" s="6" t="n">
        <f aca="false">H460*INDEX(Products!$E$2:$E$9,MATCH(E460,Products!$A$2:$A$9,0))</f>
        <v>18</v>
      </c>
      <c r="M460" s="8" t="n">
        <f aca="false">K460-L460</f>
        <v>84</v>
      </c>
      <c r="N460" s="2" t="s">
        <v>38</v>
      </c>
      <c r="O460" s="2" t="s">
        <v>62</v>
      </c>
    </row>
    <row r="461" customFormat="false" ht="15" hidden="false" customHeight="false" outlineLevel="0" collapsed="false">
      <c r="A461" s="2" t="s">
        <v>515</v>
      </c>
      <c r="B461" s="3" t="n">
        <v>45848</v>
      </c>
      <c r="C461" s="2" t="s">
        <v>16</v>
      </c>
      <c r="D461" s="2" t="s">
        <v>22</v>
      </c>
      <c r="E461" s="2" t="s">
        <v>23</v>
      </c>
      <c r="F461" s="4" t="str">
        <f aca="false">INDEX(Products!$B$2:$B$9,MATCH(E461,Products!$A$2:$A$9,0))</f>
        <v>Sensor Hub S</v>
      </c>
      <c r="G461" s="4" t="str">
        <f aca="false">INDEX(Products!$C$2:$C$9,MATCH(E461,Products!$A$2:$A$9,0))</f>
        <v>Hardware</v>
      </c>
      <c r="H461" s="5" t="n">
        <v>20</v>
      </c>
      <c r="I461" s="6" t="n">
        <f aca="false">INDEX(Products!$D$2:$D$9,MATCH(E461,Products!$A$2:$A$9,0))</f>
        <v>189</v>
      </c>
      <c r="J461" s="7" t="n">
        <v>0.15</v>
      </c>
      <c r="K461" s="8" t="n">
        <f aca="false">H461*I461*(1-J461)</f>
        <v>3213</v>
      </c>
      <c r="L461" s="6" t="n">
        <f aca="false">H461*INDEX(Products!$E$2:$E$9,MATCH(E461,Products!$A$2:$A$9,0))</f>
        <v>1960</v>
      </c>
      <c r="M461" s="8" t="n">
        <f aca="false">K461-L461</f>
        <v>1253</v>
      </c>
      <c r="N461" s="2" t="s">
        <v>28</v>
      </c>
      <c r="O461" s="2" t="s">
        <v>20</v>
      </c>
    </row>
    <row r="462" customFormat="false" ht="15" hidden="false" customHeight="false" outlineLevel="0" collapsed="false">
      <c r="A462" s="2" t="s">
        <v>516</v>
      </c>
      <c r="B462" s="3" t="n">
        <v>45849</v>
      </c>
      <c r="C462" s="2" t="s">
        <v>47</v>
      </c>
      <c r="D462" s="2" t="s">
        <v>71</v>
      </c>
      <c r="E462" s="2" t="s">
        <v>61</v>
      </c>
      <c r="F462" s="4" t="str">
        <f aca="false">INDEX(Products!$B$2:$B$9,MATCH(E462,Products!$A$2:$A$9,0))</f>
        <v>Install Service</v>
      </c>
      <c r="G462" s="4" t="str">
        <f aca="false">INDEX(Products!$C$2:$C$9,MATCH(E462,Products!$A$2:$A$9,0))</f>
        <v>Services</v>
      </c>
      <c r="H462" s="5" t="n">
        <v>1</v>
      </c>
      <c r="I462" s="6" t="n">
        <f aca="false">INDEX(Products!$D$2:$D$9,MATCH(E462,Products!$A$2:$A$9,0))</f>
        <v>450</v>
      </c>
      <c r="J462" s="7" t="n">
        <v>0.05</v>
      </c>
      <c r="K462" s="8" t="n">
        <f aca="false">H462*I462*(1-J462)</f>
        <v>427.5</v>
      </c>
      <c r="L462" s="6" t="n">
        <f aca="false">H462*INDEX(Products!$E$2:$E$9,MATCH(E462,Products!$A$2:$A$9,0))</f>
        <v>310</v>
      </c>
      <c r="M462" s="8" t="n">
        <f aca="false">K462-L462</f>
        <v>117.5</v>
      </c>
      <c r="N462" s="2" t="s">
        <v>28</v>
      </c>
      <c r="O462" s="2" t="s">
        <v>50</v>
      </c>
    </row>
    <row r="463" customFormat="false" ht="15" hidden="false" customHeight="false" outlineLevel="0" collapsed="false">
      <c r="A463" s="2" t="s">
        <v>517</v>
      </c>
      <c r="B463" s="3" t="n">
        <v>45851</v>
      </c>
      <c r="C463" s="2" t="s">
        <v>41</v>
      </c>
      <c r="D463" s="2" t="s">
        <v>42</v>
      </c>
      <c r="E463" s="2" t="s">
        <v>26</v>
      </c>
      <c r="F463" s="4" t="str">
        <f aca="false">INDEX(Products!$B$2:$B$9,MATCH(E463,Products!$A$2:$A$9,0))</f>
        <v>Analytics Basic</v>
      </c>
      <c r="G463" s="4" t="str">
        <f aca="false">INDEX(Products!$C$2:$C$9,MATCH(E463,Products!$A$2:$A$9,0))</f>
        <v>Software</v>
      </c>
      <c r="H463" s="5" t="n">
        <v>2</v>
      </c>
      <c r="I463" s="6" t="n">
        <f aca="false">INDEX(Products!$D$2:$D$9,MATCH(E463,Products!$A$2:$A$9,0))</f>
        <v>120</v>
      </c>
      <c r="J463" s="7" t="n">
        <v>0</v>
      </c>
      <c r="K463" s="8" t="n">
        <f aca="false">H463*I463*(1-J463)</f>
        <v>240</v>
      </c>
      <c r="L463" s="6" t="n">
        <f aca="false">H463*INDEX(Products!$E$2:$E$9,MATCH(E463,Products!$A$2:$A$9,0))</f>
        <v>36</v>
      </c>
      <c r="M463" s="8" t="n">
        <f aca="false">K463-L463</f>
        <v>204</v>
      </c>
      <c r="N463" s="2" t="s">
        <v>28</v>
      </c>
      <c r="O463" s="2" t="s">
        <v>43</v>
      </c>
    </row>
    <row r="464" customFormat="false" ht="15" hidden="false" customHeight="false" outlineLevel="0" collapsed="false">
      <c r="A464" s="2" t="s">
        <v>518</v>
      </c>
      <c r="B464" s="3" t="n">
        <v>45852</v>
      </c>
      <c r="C464" s="2" t="s">
        <v>16</v>
      </c>
      <c r="D464" s="2" t="s">
        <v>35</v>
      </c>
      <c r="E464" s="2" t="s">
        <v>18</v>
      </c>
      <c r="F464" s="4" t="str">
        <f aca="false">INDEX(Products!$B$2:$B$9,MATCH(E464,Products!$A$2:$A$9,0))</f>
        <v>Sensor Hub Pro</v>
      </c>
      <c r="G464" s="4" t="str">
        <f aca="false">INDEX(Products!$C$2:$C$9,MATCH(E464,Products!$A$2:$A$9,0))</f>
        <v>Hardware</v>
      </c>
      <c r="H464" s="5" t="n">
        <v>10</v>
      </c>
      <c r="I464" s="6" t="n">
        <f aca="false">INDEX(Products!$D$2:$D$9,MATCH(E464,Products!$A$2:$A$9,0))</f>
        <v>349</v>
      </c>
      <c r="J464" s="7" t="n">
        <v>0.05</v>
      </c>
      <c r="K464" s="8" t="n">
        <f aca="false">H464*I464*(1-J464)</f>
        <v>3315.5</v>
      </c>
      <c r="L464" s="6" t="n">
        <f aca="false">H464*INDEX(Products!$E$2:$E$9,MATCH(E464,Products!$A$2:$A$9,0))</f>
        <v>2010</v>
      </c>
      <c r="M464" s="8" t="n">
        <f aca="false">K464-L464</f>
        <v>1305.5</v>
      </c>
      <c r="N464" s="2" t="s">
        <v>38</v>
      </c>
      <c r="O464" s="2" t="s">
        <v>20</v>
      </c>
    </row>
    <row r="465" customFormat="false" ht="15" hidden="false" customHeight="false" outlineLevel="0" collapsed="false">
      <c r="A465" s="2" t="s">
        <v>519</v>
      </c>
      <c r="B465" s="3" t="n">
        <v>45852</v>
      </c>
      <c r="C465" s="2" t="s">
        <v>41</v>
      </c>
      <c r="D465" s="2" t="s">
        <v>66</v>
      </c>
      <c r="E465" s="2" t="s">
        <v>26</v>
      </c>
      <c r="F465" s="4" t="str">
        <f aca="false">INDEX(Products!$B$2:$B$9,MATCH(E465,Products!$A$2:$A$9,0))</f>
        <v>Analytics Basic</v>
      </c>
      <c r="G465" s="4" t="str">
        <f aca="false">INDEX(Products!$C$2:$C$9,MATCH(E465,Products!$A$2:$A$9,0))</f>
        <v>Software</v>
      </c>
      <c r="H465" s="5" t="n">
        <v>2</v>
      </c>
      <c r="I465" s="6" t="n">
        <f aca="false">INDEX(Products!$D$2:$D$9,MATCH(E465,Products!$A$2:$A$9,0))</f>
        <v>120</v>
      </c>
      <c r="J465" s="7" t="n">
        <v>0</v>
      </c>
      <c r="K465" s="8" t="n">
        <f aca="false">H465*I465*(1-J465)</f>
        <v>240</v>
      </c>
      <c r="L465" s="6" t="n">
        <f aca="false">H465*INDEX(Products!$E$2:$E$9,MATCH(E465,Products!$A$2:$A$9,0))</f>
        <v>36</v>
      </c>
      <c r="M465" s="8" t="n">
        <f aca="false">K465-L465</f>
        <v>204</v>
      </c>
      <c r="N465" s="2" t="s">
        <v>28</v>
      </c>
      <c r="O465" s="2" t="s">
        <v>43</v>
      </c>
    </row>
    <row r="466" customFormat="false" ht="15" hidden="false" customHeight="false" outlineLevel="0" collapsed="false">
      <c r="A466" s="2" t="s">
        <v>520</v>
      </c>
      <c r="B466" s="3" t="n">
        <v>45852</v>
      </c>
      <c r="C466" s="2" t="s">
        <v>41</v>
      </c>
      <c r="D466" s="2" t="s">
        <v>42</v>
      </c>
      <c r="E466" s="2" t="s">
        <v>32</v>
      </c>
      <c r="F466" s="4" t="str">
        <f aca="false">INDEX(Products!$B$2:$B$9,MATCH(E466,Products!$A$2:$A$9,0))</f>
        <v>Analytics Plus</v>
      </c>
      <c r="G466" s="4" t="str">
        <f aca="false">INDEX(Products!$C$2:$C$9,MATCH(E466,Products!$A$2:$A$9,0))</f>
        <v>Software</v>
      </c>
      <c r="H466" s="5" t="n">
        <v>2</v>
      </c>
      <c r="I466" s="6" t="n">
        <f aca="false">INDEX(Products!$D$2:$D$9,MATCH(E466,Products!$A$2:$A$9,0))</f>
        <v>290</v>
      </c>
      <c r="J466" s="7" t="n">
        <v>0</v>
      </c>
      <c r="K466" s="8" t="n">
        <f aca="false">H466*I466*(1-J466)</f>
        <v>580</v>
      </c>
      <c r="L466" s="6" t="n">
        <f aca="false">H466*INDEX(Products!$E$2:$E$9,MATCH(E466,Products!$A$2:$A$9,0))</f>
        <v>82</v>
      </c>
      <c r="M466" s="8" t="n">
        <f aca="false">K466-L466</f>
        <v>498</v>
      </c>
      <c r="N466" s="2" t="s">
        <v>28</v>
      </c>
      <c r="O466" s="2" t="s">
        <v>43</v>
      </c>
    </row>
    <row r="467" customFormat="false" ht="15" hidden="false" customHeight="false" outlineLevel="0" collapsed="false">
      <c r="A467" s="2" t="s">
        <v>521</v>
      </c>
      <c r="B467" s="3" t="n">
        <v>45852</v>
      </c>
      <c r="C467" s="2" t="s">
        <v>41</v>
      </c>
      <c r="D467" s="2" t="s">
        <v>66</v>
      </c>
      <c r="E467" s="2" t="s">
        <v>49</v>
      </c>
      <c r="F467" s="4" t="str">
        <f aca="false">INDEX(Products!$B$2:$B$9,MATCH(E467,Products!$A$2:$A$9,0))</f>
        <v>Mounting Kit</v>
      </c>
      <c r="G467" s="4" t="str">
        <f aca="false">INDEX(Products!$C$2:$C$9,MATCH(E467,Products!$A$2:$A$9,0))</f>
        <v>Accessories</v>
      </c>
      <c r="H467" s="5" t="n">
        <v>4</v>
      </c>
      <c r="I467" s="6" t="n">
        <f aca="false">INDEX(Products!$D$2:$D$9,MATCH(E467,Products!$A$2:$A$9,0))</f>
        <v>39</v>
      </c>
      <c r="J467" s="7" t="n">
        <v>0.15</v>
      </c>
      <c r="K467" s="8" t="n">
        <f aca="false">H467*I467*(1-J467)</f>
        <v>132.6</v>
      </c>
      <c r="L467" s="6" t="n">
        <f aca="false">H467*INDEX(Products!$E$2:$E$9,MATCH(E467,Products!$A$2:$A$9,0))</f>
        <v>126</v>
      </c>
      <c r="M467" s="8" t="n">
        <f aca="false">K467-L467</f>
        <v>6.59999999999999</v>
      </c>
      <c r="N467" s="2" t="s">
        <v>28</v>
      </c>
      <c r="O467" s="2" t="s">
        <v>52</v>
      </c>
    </row>
    <row r="468" customFormat="false" ht="15" hidden="false" customHeight="false" outlineLevel="0" collapsed="false">
      <c r="A468" s="2" t="s">
        <v>522</v>
      </c>
      <c r="B468" s="3" t="n">
        <v>45853</v>
      </c>
      <c r="C468" s="2" t="s">
        <v>16</v>
      </c>
      <c r="D468" s="2" t="s">
        <v>22</v>
      </c>
      <c r="E468" s="2" t="s">
        <v>26</v>
      </c>
      <c r="F468" s="4" t="str">
        <f aca="false">INDEX(Products!$B$2:$B$9,MATCH(E468,Products!$A$2:$A$9,0))</f>
        <v>Analytics Basic</v>
      </c>
      <c r="G468" s="4" t="str">
        <f aca="false">INDEX(Products!$C$2:$C$9,MATCH(E468,Products!$A$2:$A$9,0))</f>
        <v>Software</v>
      </c>
      <c r="H468" s="5" t="n">
        <v>5</v>
      </c>
      <c r="I468" s="6" t="n">
        <f aca="false">INDEX(Products!$D$2:$D$9,MATCH(E468,Products!$A$2:$A$9,0))</f>
        <v>120</v>
      </c>
      <c r="J468" s="7" t="n">
        <v>0.25</v>
      </c>
      <c r="K468" s="8" t="n">
        <f aca="false">H468*I468*(1-J468)</f>
        <v>450</v>
      </c>
      <c r="L468" s="6" t="n">
        <f aca="false">H468*INDEX(Products!$E$2:$E$9,MATCH(E468,Products!$A$2:$A$9,0))</f>
        <v>90</v>
      </c>
      <c r="M468" s="8" t="n">
        <f aca="false">K468-L468</f>
        <v>360</v>
      </c>
      <c r="N468" s="2" t="s">
        <v>19</v>
      </c>
      <c r="O468" s="2" t="s">
        <v>36</v>
      </c>
    </row>
    <row r="469" customFormat="false" ht="15" hidden="false" customHeight="false" outlineLevel="0" collapsed="false">
      <c r="A469" s="2" t="s">
        <v>523</v>
      </c>
      <c r="B469" s="3" t="n">
        <v>45853</v>
      </c>
      <c r="C469" s="2" t="s">
        <v>47</v>
      </c>
      <c r="D469" s="2" t="s">
        <v>55</v>
      </c>
      <c r="E469" s="2" t="s">
        <v>61</v>
      </c>
      <c r="F469" s="4" t="str">
        <f aca="false">INDEX(Products!$B$2:$B$9,MATCH(E469,Products!$A$2:$A$9,0))</f>
        <v>Install Service</v>
      </c>
      <c r="G469" s="4" t="str">
        <f aca="false">INDEX(Products!$C$2:$C$9,MATCH(E469,Products!$A$2:$A$9,0))</f>
        <v>Services</v>
      </c>
      <c r="H469" s="5" t="n">
        <v>1</v>
      </c>
      <c r="I469" s="6" t="n">
        <f aca="false">INDEX(Products!$D$2:$D$9,MATCH(E469,Products!$A$2:$A$9,0))</f>
        <v>450</v>
      </c>
      <c r="J469" s="7" t="n">
        <v>0.05</v>
      </c>
      <c r="K469" s="8" t="n">
        <f aca="false">H469*I469*(1-J469)</f>
        <v>427.5</v>
      </c>
      <c r="L469" s="6" t="n">
        <f aca="false">H469*INDEX(Products!$E$2:$E$9,MATCH(E469,Products!$A$2:$A$9,0))</f>
        <v>310</v>
      </c>
      <c r="M469" s="8" t="n">
        <f aca="false">K469-L469</f>
        <v>117.5</v>
      </c>
      <c r="N469" s="2" t="s">
        <v>28</v>
      </c>
      <c r="O469" s="2" t="s">
        <v>72</v>
      </c>
    </row>
    <row r="470" customFormat="false" ht="15" hidden="false" customHeight="false" outlineLevel="0" collapsed="false">
      <c r="A470" s="2" t="s">
        <v>524</v>
      </c>
      <c r="B470" s="3" t="n">
        <v>45854</v>
      </c>
      <c r="C470" s="2" t="s">
        <v>47</v>
      </c>
      <c r="D470" s="2" t="s">
        <v>55</v>
      </c>
      <c r="E470" s="2" t="s">
        <v>26</v>
      </c>
      <c r="F470" s="4" t="str">
        <f aca="false">INDEX(Products!$B$2:$B$9,MATCH(E470,Products!$A$2:$A$9,0))</f>
        <v>Analytics Basic</v>
      </c>
      <c r="G470" s="4" t="str">
        <f aca="false">INDEX(Products!$C$2:$C$9,MATCH(E470,Products!$A$2:$A$9,0))</f>
        <v>Software</v>
      </c>
      <c r="H470" s="5" t="n">
        <v>3</v>
      </c>
      <c r="I470" s="6" t="n">
        <f aca="false">INDEX(Products!$D$2:$D$9,MATCH(E470,Products!$A$2:$A$9,0))</f>
        <v>120</v>
      </c>
      <c r="J470" s="7" t="n">
        <v>0.15</v>
      </c>
      <c r="K470" s="8" t="n">
        <f aca="false">H470*I470*(1-J470)</f>
        <v>306</v>
      </c>
      <c r="L470" s="6" t="n">
        <f aca="false">H470*INDEX(Products!$E$2:$E$9,MATCH(E470,Products!$A$2:$A$9,0))</f>
        <v>54</v>
      </c>
      <c r="M470" s="8" t="n">
        <f aca="false">K470-L470</f>
        <v>252</v>
      </c>
      <c r="N470" s="2" t="s">
        <v>38</v>
      </c>
      <c r="O470" s="2" t="s">
        <v>72</v>
      </c>
    </row>
    <row r="471" customFormat="false" ht="15" hidden="false" customHeight="false" outlineLevel="0" collapsed="false">
      <c r="A471" s="2" t="s">
        <v>525</v>
      </c>
      <c r="B471" s="3" t="n">
        <v>45855</v>
      </c>
      <c r="C471" s="2" t="s">
        <v>16</v>
      </c>
      <c r="D471" s="2" t="s">
        <v>17</v>
      </c>
      <c r="E471" s="2" t="s">
        <v>32</v>
      </c>
      <c r="F471" s="4" t="str">
        <f aca="false">INDEX(Products!$B$2:$B$9,MATCH(E471,Products!$A$2:$A$9,0))</f>
        <v>Analytics Plus</v>
      </c>
      <c r="G471" s="4" t="str">
        <f aca="false">INDEX(Products!$C$2:$C$9,MATCH(E471,Products!$A$2:$A$9,0))</f>
        <v>Software</v>
      </c>
      <c r="H471" s="5" t="n">
        <v>2</v>
      </c>
      <c r="I471" s="6" t="n">
        <f aca="false">INDEX(Products!$D$2:$D$9,MATCH(E471,Products!$A$2:$A$9,0))</f>
        <v>290</v>
      </c>
      <c r="J471" s="7" t="n">
        <v>0.15</v>
      </c>
      <c r="K471" s="8" t="n">
        <f aca="false">H471*I471*(1-J471)</f>
        <v>493</v>
      </c>
      <c r="L471" s="6" t="n">
        <f aca="false">H471*INDEX(Products!$E$2:$E$9,MATCH(E471,Products!$A$2:$A$9,0))</f>
        <v>82</v>
      </c>
      <c r="M471" s="8" t="n">
        <f aca="false">K471-L471</f>
        <v>411</v>
      </c>
      <c r="N471" s="2" t="s">
        <v>28</v>
      </c>
      <c r="O471" s="2" t="s">
        <v>36</v>
      </c>
    </row>
    <row r="472" customFormat="false" ht="15" hidden="false" customHeight="false" outlineLevel="0" collapsed="false">
      <c r="A472" s="2" t="s">
        <v>526</v>
      </c>
      <c r="B472" s="3" t="n">
        <v>45855</v>
      </c>
      <c r="C472" s="2" t="s">
        <v>16</v>
      </c>
      <c r="D472" s="2" t="s">
        <v>17</v>
      </c>
      <c r="E472" s="2" t="s">
        <v>68</v>
      </c>
      <c r="F472" s="4" t="str">
        <f aca="false">INDEX(Products!$B$2:$B$9,MATCH(E472,Products!$A$2:$A$9,0))</f>
        <v>Premium Support</v>
      </c>
      <c r="G472" s="4" t="str">
        <f aca="false">INDEX(Products!$C$2:$C$9,MATCH(E472,Products!$A$2:$A$9,0))</f>
        <v>Services</v>
      </c>
      <c r="H472" s="5" t="n">
        <v>1</v>
      </c>
      <c r="I472" s="6" t="n">
        <f aca="false">INDEX(Products!$D$2:$D$9,MATCH(E472,Products!$A$2:$A$9,0))</f>
        <v>600</v>
      </c>
      <c r="J472" s="7" t="n">
        <v>0.05</v>
      </c>
      <c r="K472" s="8" t="n">
        <f aca="false">H472*I472*(1-J472)</f>
        <v>570</v>
      </c>
      <c r="L472" s="6" t="n">
        <f aca="false">H472*INDEX(Products!$E$2:$E$9,MATCH(E472,Products!$A$2:$A$9,0))</f>
        <v>395</v>
      </c>
      <c r="M472" s="8" t="n">
        <f aca="false">K472-L472</f>
        <v>175</v>
      </c>
      <c r="N472" s="2" t="s">
        <v>28</v>
      </c>
      <c r="O472" s="2" t="s">
        <v>20</v>
      </c>
    </row>
    <row r="473" customFormat="false" ht="15" hidden="false" customHeight="false" outlineLevel="0" collapsed="false">
      <c r="A473" s="2" t="s">
        <v>527</v>
      </c>
      <c r="B473" s="3" t="n">
        <v>45855</v>
      </c>
      <c r="C473" s="2" t="s">
        <v>41</v>
      </c>
      <c r="D473" s="2" t="s">
        <v>42</v>
      </c>
      <c r="E473" s="2" t="s">
        <v>18</v>
      </c>
      <c r="F473" s="4" t="str">
        <f aca="false">INDEX(Products!$B$2:$B$9,MATCH(E473,Products!$A$2:$A$9,0))</f>
        <v>Sensor Hub Pro</v>
      </c>
      <c r="G473" s="4" t="str">
        <f aca="false">INDEX(Products!$C$2:$C$9,MATCH(E473,Products!$A$2:$A$9,0))</f>
        <v>Hardware</v>
      </c>
      <c r="H473" s="5" t="n">
        <v>8</v>
      </c>
      <c r="I473" s="6" t="n">
        <f aca="false">INDEX(Products!$D$2:$D$9,MATCH(E473,Products!$A$2:$A$9,0))</f>
        <v>349</v>
      </c>
      <c r="J473" s="7" t="n">
        <v>0.2</v>
      </c>
      <c r="K473" s="8" t="n">
        <f aca="false">H473*I473*(1-J473)</f>
        <v>2233.6</v>
      </c>
      <c r="L473" s="6" t="n">
        <f aca="false">H473*INDEX(Products!$E$2:$E$9,MATCH(E473,Products!$A$2:$A$9,0))</f>
        <v>1608</v>
      </c>
      <c r="M473" s="8" t="n">
        <f aca="false">K473-L473</f>
        <v>625.6</v>
      </c>
      <c r="N473" s="2" t="s">
        <v>19</v>
      </c>
      <c r="O473" s="2" t="s">
        <v>43</v>
      </c>
    </row>
    <row r="474" customFormat="false" ht="15" hidden="false" customHeight="false" outlineLevel="0" collapsed="false">
      <c r="A474" s="2" t="s">
        <v>528</v>
      </c>
      <c r="B474" s="3" t="n">
        <v>45855</v>
      </c>
      <c r="C474" s="2" t="s">
        <v>16</v>
      </c>
      <c r="D474" s="2" t="s">
        <v>25</v>
      </c>
      <c r="E474" s="2" t="s">
        <v>26</v>
      </c>
      <c r="F474" s="4" t="str">
        <f aca="false">INDEX(Products!$B$2:$B$9,MATCH(E474,Products!$A$2:$A$9,0))</f>
        <v>Analytics Basic</v>
      </c>
      <c r="G474" s="4" t="str">
        <f aca="false">INDEX(Products!$C$2:$C$9,MATCH(E474,Products!$A$2:$A$9,0))</f>
        <v>Software</v>
      </c>
      <c r="H474" s="5" t="n">
        <v>2</v>
      </c>
      <c r="I474" s="6" t="n">
        <f aca="false">INDEX(Products!$D$2:$D$9,MATCH(E474,Products!$A$2:$A$9,0))</f>
        <v>120</v>
      </c>
      <c r="J474" s="7" t="n">
        <v>0.15</v>
      </c>
      <c r="K474" s="8" t="n">
        <f aca="false">H474*I474*(1-J474)</f>
        <v>204</v>
      </c>
      <c r="L474" s="6" t="n">
        <f aca="false">H474*INDEX(Products!$E$2:$E$9,MATCH(E474,Products!$A$2:$A$9,0))</f>
        <v>36</v>
      </c>
      <c r="M474" s="8" t="n">
        <f aca="false">K474-L474</f>
        <v>168</v>
      </c>
      <c r="N474" s="2" t="s">
        <v>28</v>
      </c>
      <c r="O474" s="2" t="s">
        <v>20</v>
      </c>
    </row>
    <row r="475" customFormat="false" ht="15" hidden="false" customHeight="false" outlineLevel="0" collapsed="false">
      <c r="A475" s="2" t="s">
        <v>529</v>
      </c>
      <c r="B475" s="3" t="n">
        <v>45856</v>
      </c>
      <c r="C475" s="2" t="s">
        <v>16</v>
      </c>
      <c r="D475" s="2" t="s">
        <v>17</v>
      </c>
      <c r="E475" s="2" t="s">
        <v>68</v>
      </c>
      <c r="F475" s="4" t="str">
        <f aca="false">INDEX(Products!$B$2:$B$9,MATCH(E475,Products!$A$2:$A$9,0))</f>
        <v>Premium Support</v>
      </c>
      <c r="G475" s="4" t="str">
        <f aca="false">INDEX(Products!$C$2:$C$9,MATCH(E475,Products!$A$2:$A$9,0))</f>
        <v>Services</v>
      </c>
      <c r="H475" s="5" t="n">
        <v>1</v>
      </c>
      <c r="I475" s="6" t="n">
        <f aca="false">INDEX(Products!$D$2:$D$9,MATCH(E475,Products!$A$2:$A$9,0))</f>
        <v>600</v>
      </c>
      <c r="J475" s="7" t="n">
        <v>0.05</v>
      </c>
      <c r="K475" s="8" t="n">
        <f aca="false">H475*I475*(1-J475)</f>
        <v>570</v>
      </c>
      <c r="L475" s="6" t="n">
        <f aca="false">H475*INDEX(Products!$E$2:$E$9,MATCH(E475,Products!$A$2:$A$9,0))</f>
        <v>395</v>
      </c>
      <c r="M475" s="8" t="n">
        <f aca="false">K475-L475</f>
        <v>175</v>
      </c>
      <c r="N475" s="2" t="s">
        <v>28</v>
      </c>
      <c r="O475" s="2" t="s">
        <v>36</v>
      </c>
    </row>
    <row r="476" customFormat="false" ht="15" hidden="false" customHeight="false" outlineLevel="0" collapsed="false">
      <c r="A476" s="2" t="s">
        <v>530</v>
      </c>
      <c r="B476" s="3" t="n">
        <v>45856</v>
      </c>
      <c r="C476" s="2" t="s">
        <v>30</v>
      </c>
      <c r="D476" s="2" t="s">
        <v>31</v>
      </c>
      <c r="E476" s="2" t="s">
        <v>61</v>
      </c>
      <c r="F476" s="4" t="str">
        <f aca="false">INDEX(Products!$B$2:$B$9,MATCH(E476,Products!$A$2:$A$9,0))</f>
        <v>Install Service</v>
      </c>
      <c r="G476" s="4" t="str">
        <f aca="false">INDEX(Products!$C$2:$C$9,MATCH(E476,Products!$A$2:$A$9,0))</f>
        <v>Services</v>
      </c>
      <c r="H476" s="5" t="n">
        <v>1</v>
      </c>
      <c r="I476" s="6" t="n">
        <f aca="false">INDEX(Products!$D$2:$D$9,MATCH(E476,Products!$A$2:$A$9,0))</f>
        <v>450</v>
      </c>
      <c r="J476" s="7" t="n">
        <v>0.1</v>
      </c>
      <c r="K476" s="8" t="n">
        <f aca="false">H476*I476*(1-J476)</f>
        <v>405</v>
      </c>
      <c r="L476" s="6" t="n">
        <f aca="false">H476*INDEX(Products!$E$2:$E$9,MATCH(E476,Products!$A$2:$A$9,0))</f>
        <v>310</v>
      </c>
      <c r="M476" s="8" t="n">
        <f aca="false">K476-L476</f>
        <v>95</v>
      </c>
      <c r="N476" s="2" t="s">
        <v>38</v>
      </c>
      <c r="O476" s="2" t="s">
        <v>64</v>
      </c>
    </row>
    <row r="477" customFormat="false" ht="15" hidden="false" customHeight="false" outlineLevel="0" collapsed="false">
      <c r="A477" s="2" t="s">
        <v>531</v>
      </c>
      <c r="B477" s="3" t="n">
        <v>45857</v>
      </c>
      <c r="C477" s="2" t="s">
        <v>47</v>
      </c>
      <c r="D477" s="2" t="s">
        <v>48</v>
      </c>
      <c r="E477" s="2" t="s">
        <v>23</v>
      </c>
      <c r="F477" s="4" t="str">
        <f aca="false">INDEX(Products!$B$2:$B$9,MATCH(E477,Products!$A$2:$A$9,0))</f>
        <v>Sensor Hub S</v>
      </c>
      <c r="G477" s="4" t="str">
        <f aca="false">INDEX(Products!$C$2:$C$9,MATCH(E477,Products!$A$2:$A$9,0))</f>
        <v>Hardware</v>
      </c>
      <c r="H477" s="5" t="n">
        <v>20</v>
      </c>
      <c r="I477" s="6" t="n">
        <f aca="false">INDEX(Products!$D$2:$D$9,MATCH(E477,Products!$A$2:$A$9,0))</f>
        <v>189</v>
      </c>
      <c r="J477" s="7" t="n">
        <v>0</v>
      </c>
      <c r="K477" s="8" t="n">
        <f aca="false">H477*I477*(1-J477)</f>
        <v>3780</v>
      </c>
      <c r="L477" s="6" t="n">
        <f aca="false">H477*INDEX(Products!$E$2:$E$9,MATCH(E477,Products!$A$2:$A$9,0))</f>
        <v>1960</v>
      </c>
      <c r="M477" s="8" t="n">
        <f aca="false">K477-L477</f>
        <v>1820</v>
      </c>
      <c r="N477" s="2" t="s">
        <v>28</v>
      </c>
      <c r="O477" s="2" t="s">
        <v>72</v>
      </c>
    </row>
    <row r="478" customFormat="false" ht="15" hidden="false" customHeight="false" outlineLevel="0" collapsed="false">
      <c r="A478" s="2" t="s">
        <v>532</v>
      </c>
      <c r="B478" s="3" t="n">
        <v>45859</v>
      </c>
      <c r="C478" s="2" t="s">
        <v>41</v>
      </c>
      <c r="D478" s="2" t="s">
        <v>66</v>
      </c>
      <c r="E478" s="2" t="s">
        <v>32</v>
      </c>
      <c r="F478" s="4" t="str">
        <f aca="false">INDEX(Products!$B$2:$B$9,MATCH(E478,Products!$A$2:$A$9,0))</f>
        <v>Analytics Plus</v>
      </c>
      <c r="G478" s="4" t="str">
        <f aca="false">INDEX(Products!$C$2:$C$9,MATCH(E478,Products!$A$2:$A$9,0))</f>
        <v>Software</v>
      </c>
      <c r="H478" s="5" t="n">
        <v>1</v>
      </c>
      <c r="I478" s="6" t="n">
        <f aca="false">INDEX(Products!$D$2:$D$9,MATCH(E478,Products!$A$2:$A$9,0))</f>
        <v>290</v>
      </c>
      <c r="J478" s="7" t="n">
        <v>0.05</v>
      </c>
      <c r="K478" s="8" t="n">
        <f aca="false">H478*I478*(1-J478)</f>
        <v>275.5</v>
      </c>
      <c r="L478" s="6" t="n">
        <f aca="false">H478*INDEX(Products!$E$2:$E$9,MATCH(E478,Products!$A$2:$A$9,0))</f>
        <v>41</v>
      </c>
      <c r="M478" s="8" t="n">
        <f aca="false">K478-L478</f>
        <v>234.5</v>
      </c>
      <c r="N478" s="2" t="s">
        <v>28</v>
      </c>
      <c r="O478" s="2" t="s">
        <v>52</v>
      </c>
    </row>
    <row r="479" customFormat="false" ht="15" hidden="false" customHeight="false" outlineLevel="0" collapsed="false">
      <c r="A479" s="2" t="s">
        <v>533</v>
      </c>
      <c r="B479" s="3" t="n">
        <v>45859</v>
      </c>
      <c r="C479" s="2" t="s">
        <v>16</v>
      </c>
      <c r="D479" s="2" t="s">
        <v>25</v>
      </c>
      <c r="E479" s="2" t="s">
        <v>26</v>
      </c>
      <c r="F479" s="4" t="str">
        <f aca="false">INDEX(Products!$B$2:$B$9,MATCH(E479,Products!$A$2:$A$9,0))</f>
        <v>Analytics Basic</v>
      </c>
      <c r="G479" s="4" t="str">
        <f aca="false">INDEX(Products!$C$2:$C$9,MATCH(E479,Products!$A$2:$A$9,0))</f>
        <v>Software</v>
      </c>
      <c r="H479" s="5" t="n">
        <v>5</v>
      </c>
      <c r="I479" s="6" t="n">
        <f aca="false">INDEX(Products!$D$2:$D$9,MATCH(E479,Products!$A$2:$A$9,0))</f>
        <v>120</v>
      </c>
      <c r="J479" s="7" t="n">
        <v>0.15</v>
      </c>
      <c r="K479" s="8" t="n">
        <f aca="false">H479*I479*(1-J479)</f>
        <v>510</v>
      </c>
      <c r="L479" s="6" t="n">
        <f aca="false">H479*INDEX(Products!$E$2:$E$9,MATCH(E479,Products!$A$2:$A$9,0))</f>
        <v>90</v>
      </c>
      <c r="M479" s="8" t="n">
        <f aca="false">K479-L479</f>
        <v>420</v>
      </c>
      <c r="N479" s="2" t="s">
        <v>19</v>
      </c>
      <c r="O479" s="2" t="s">
        <v>36</v>
      </c>
    </row>
    <row r="480" customFormat="false" ht="15" hidden="false" customHeight="false" outlineLevel="0" collapsed="false">
      <c r="A480" s="2" t="s">
        <v>534</v>
      </c>
      <c r="B480" s="3" t="n">
        <v>45859</v>
      </c>
      <c r="C480" s="2" t="s">
        <v>16</v>
      </c>
      <c r="D480" s="2" t="s">
        <v>35</v>
      </c>
      <c r="E480" s="2" t="s">
        <v>49</v>
      </c>
      <c r="F480" s="4" t="str">
        <f aca="false">INDEX(Products!$B$2:$B$9,MATCH(E480,Products!$A$2:$A$9,0))</f>
        <v>Mounting Kit</v>
      </c>
      <c r="G480" s="4" t="str">
        <f aca="false">INDEX(Products!$C$2:$C$9,MATCH(E480,Products!$A$2:$A$9,0))</f>
        <v>Accessories</v>
      </c>
      <c r="H480" s="5" t="n">
        <v>4</v>
      </c>
      <c r="I480" s="6" t="n">
        <f aca="false">INDEX(Products!$D$2:$D$9,MATCH(E480,Products!$A$2:$A$9,0))</f>
        <v>39</v>
      </c>
      <c r="J480" s="7" t="n">
        <v>0.15</v>
      </c>
      <c r="K480" s="8" t="n">
        <f aca="false">H480*I480*(1-J480)</f>
        <v>132.6</v>
      </c>
      <c r="L480" s="6" t="n">
        <f aca="false">H480*INDEX(Products!$E$2:$E$9,MATCH(E480,Products!$A$2:$A$9,0))</f>
        <v>126</v>
      </c>
      <c r="M480" s="8" t="n">
        <f aca="false">K480-L480</f>
        <v>6.59999999999999</v>
      </c>
      <c r="N480" s="2" t="s">
        <v>19</v>
      </c>
      <c r="O480" s="2" t="s">
        <v>20</v>
      </c>
    </row>
    <row r="481" customFormat="false" ht="15" hidden="false" customHeight="false" outlineLevel="0" collapsed="false">
      <c r="A481" s="2" t="s">
        <v>535</v>
      </c>
      <c r="B481" s="3" t="n">
        <v>45859</v>
      </c>
      <c r="C481" s="2" t="s">
        <v>41</v>
      </c>
      <c r="D481" s="2" t="s">
        <v>66</v>
      </c>
      <c r="E481" s="2" t="s">
        <v>26</v>
      </c>
      <c r="F481" s="4" t="str">
        <f aca="false">INDEX(Products!$B$2:$B$9,MATCH(E481,Products!$A$2:$A$9,0))</f>
        <v>Analytics Basic</v>
      </c>
      <c r="G481" s="4" t="str">
        <f aca="false">INDEX(Products!$C$2:$C$9,MATCH(E481,Products!$A$2:$A$9,0))</f>
        <v>Software</v>
      </c>
      <c r="H481" s="5" t="n">
        <v>1</v>
      </c>
      <c r="I481" s="6" t="n">
        <f aca="false">INDEX(Products!$D$2:$D$9,MATCH(E481,Products!$A$2:$A$9,0))</f>
        <v>120</v>
      </c>
      <c r="J481" s="7" t="n">
        <v>0.1</v>
      </c>
      <c r="K481" s="8" t="n">
        <f aca="false">H481*I481*(1-J481)</f>
        <v>108</v>
      </c>
      <c r="L481" s="6" t="n">
        <f aca="false">H481*INDEX(Products!$E$2:$E$9,MATCH(E481,Products!$A$2:$A$9,0))</f>
        <v>18</v>
      </c>
      <c r="M481" s="8" t="n">
        <f aca="false">K481-L481</f>
        <v>90</v>
      </c>
      <c r="N481" s="2" t="s">
        <v>38</v>
      </c>
      <c r="O481" s="2" t="s">
        <v>52</v>
      </c>
    </row>
    <row r="482" customFormat="false" ht="15" hidden="false" customHeight="false" outlineLevel="0" collapsed="false">
      <c r="A482" s="2" t="s">
        <v>536</v>
      </c>
      <c r="B482" s="3" t="n">
        <v>45860</v>
      </c>
      <c r="C482" s="2" t="s">
        <v>30</v>
      </c>
      <c r="D482" s="2" t="s">
        <v>31</v>
      </c>
      <c r="E482" s="2" t="s">
        <v>18</v>
      </c>
      <c r="F482" s="4" t="str">
        <f aca="false">INDEX(Products!$B$2:$B$9,MATCH(E482,Products!$A$2:$A$9,0))</f>
        <v>Sensor Hub Pro</v>
      </c>
      <c r="G482" s="4" t="str">
        <f aca="false">INDEX(Products!$C$2:$C$9,MATCH(E482,Products!$A$2:$A$9,0))</f>
        <v>Hardware</v>
      </c>
      <c r="H482" s="5" t="n">
        <v>2</v>
      </c>
      <c r="I482" s="6" t="n">
        <f aca="false">INDEX(Products!$D$2:$D$9,MATCH(E482,Products!$A$2:$A$9,0))</f>
        <v>349</v>
      </c>
      <c r="J482" s="7" t="n">
        <v>0.1</v>
      </c>
      <c r="K482" s="8" t="n">
        <f aca="false">H482*I482*(1-J482)</f>
        <v>628.2</v>
      </c>
      <c r="L482" s="6" t="n">
        <f aca="false">H482*INDEX(Products!$E$2:$E$9,MATCH(E482,Products!$A$2:$A$9,0))</f>
        <v>402</v>
      </c>
      <c r="M482" s="8" t="n">
        <f aca="false">K482-L482</f>
        <v>226.2</v>
      </c>
      <c r="N482" s="2" t="s">
        <v>19</v>
      </c>
      <c r="O482" s="2" t="s">
        <v>33</v>
      </c>
    </row>
    <row r="483" customFormat="false" ht="15" hidden="false" customHeight="false" outlineLevel="0" collapsed="false">
      <c r="A483" s="2" t="s">
        <v>537</v>
      </c>
      <c r="B483" s="3" t="n">
        <v>45860</v>
      </c>
      <c r="C483" s="2" t="s">
        <v>41</v>
      </c>
      <c r="D483" s="2" t="s">
        <v>66</v>
      </c>
      <c r="E483" s="2" t="s">
        <v>32</v>
      </c>
      <c r="F483" s="4" t="str">
        <f aca="false">INDEX(Products!$B$2:$B$9,MATCH(E483,Products!$A$2:$A$9,0))</f>
        <v>Analytics Plus</v>
      </c>
      <c r="G483" s="4" t="str">
        <f aca="false">INDEX(Products!$C$2:$C$9,MATCH(E483,Products!$A$2:$A$9,0))</f>
        <v>Software</v>
      </c>
      <c r="H483" s="5" t="n">
        <v>5</v>
      </c>
      <c r="I483" s="6" t="n">
        <f aca="false">INDEX(Products!$D$2:$D$9,MATCH(E483,Products!$A$2:$A$9,0))</f>
        <v>290</v>
      </c>
      <c r="J483" s="7" t="n">
        <v>0.05</v>
      </c>
      <c r="K483" s="8" t="n">
        <f aca="false">H483*I483*(1-J483)</f>
        <v>1377.5</v>
      </c>
      <c r="L483" s="6" t="n">
        <f aca="false">H483*INDEX(Products!$E$2:$E$9,MATCH(E483,Products!$A$2:$A$9,0))</f>
        <v>205</v>
      </c>
      <c r="M483" s="8" t="n">
        <f aca="false">K483-L483</f>
        <v>1172.5</v>
      </c>
      <c r="N483" s="2" t="s">
        <v>28</v>
      </c>
      <c r="O483" s="2" t="s">
        <v>52</v>
      </c>
    </row>
    <row r="484" customFormat="false" ht="15" hidden="false" customHeight="false" outlineLevel="0" collapsed="false">
      <c r="A484" s="2" t="s">
        <v>538</v>
      </c>
      <c r="B484" s="3" t="n">
        <v>45860</v>
      </c>
      <c r="C484" s="2" t="s">
        <v>30</v>
      </c>
      <c r="D484" s="2" t="s">
        <v>31</v>
      </c>
      <c r="E484" s="2" t="s">
        <v>57</v>
      </c>
      <c r="F484" s="4" t="str">
        <f aca="false">INDEX(Products!$B$2:$B$9,MATCH(E484,Products!$A$2:$A$9,0))</f>
        <v>Edge Gateway</v>
      </c>
      <c r="G484" s="4" t="str">
        <f aca="false">INDEX(Products!$C$2:$C$9,MATCH(E484,Products!$A$2:$A$9,0))</f>
        <v>Hardware</v>
      </c>
      <c r="H484" s="5" t="n">
        <v>1</v>
      </c>
      <c r="I484" s="6" t="n">
        <f aca="false">INDEX(Products!$D$2:$D$9,MATCH(E484,Products!$A$2:$A$9,0))</f>
        <v>899</v>
      </c>
      <c r="J484" s="7" t="n">
        <v>0.25</v>
      </c>
      <c r="K484" s="8" t="n">
        <f aca="false">H484*I484*(1-J484)</f>
        <v>674.25</v>
      </c>
      <c r="L484" s="6" t="n">
        <f aca="false">H484*INDEX(Products!$E$2:$E$9,MATCH(E484,Products!$A$2:$A$9,0))</f>
        <v>612</v>
      </c>
      <c r="M484" s="8" t="n">
        <f aca="false">K484-L484</f>
        <v>62.25</v>
      </c>
      <c r="N484" s="2" t="s">
        <v>19</v>
      </c>
      <c r="O484" s="2" t="s">
        <v>33</v>
      </c>
    </row>
    <row r="485" customFormat="false" ht="15" hidden="false" customHeight="false" outlineLevel="0" collapsed="false">
      <c r="A485" s="2" t="s">
        <v>539</v>
      </c>
      <c r="B485" s="3" t="n">
        <v>45861</v>
      </c>
      <c r="C485" s="2" t="s">
        <v>41</v>
      </c>
      <c r="D485" s="2" t="s">
        <v>66</v>
      </c>
      <c r="E485" s="2" t="s">
        <v>18</v>
      </c>
      <c r="F485" s="4" t="str">
        <f aca="false">INDEX(Products!$B$2:$B$9,MATCH(E485,Products!$A$2:$A$9,0))</f>
        <v>Sensor Hub Pro</v>
      </c>
      <c r="G485" s="4" t="str">
        <f aca="false">INDEX(Products!$C$2:$C$9,MATCH(E485,Products!$A$2:$A$9,0))</f>
        <v>Hardware</v>
      </c>
      <c r="H485" s="5" t="n">
        <v>10</v>
      </c>
      <c r="I485" s="6" t="n">
        <f aca="false">INDEX(Products!$D$2:$D$9,MATCH(E485,Products!$A$2:$A$9,0))</f>
        <v>349</v>
      </c>
      <c r="J485" s="7" t="n">
        <v>0.15</v>
      </c>
      <c r="K485" s="8" t="n">
        <f aca="false">H485*I485*(1-J485)</f>
        <v>2966.5</v>
      </c>
      <c r="L485" s="6" t="n">
        <f aca="false">H485*INDEX(Products!$E$2:$E$9,MATCH(E485,Products!$A$2:$A$9,0))</f>
        <v>2010</v>
      </c>
      <c r="M485" s="8" t="n">
        <f aca="false">K485-L485</f>
        <v>956.5</v>
      </c>
      <c r="N485" s="2" t="s">
        <v>19</v>
      </c>
      <c r="O485" s="2" t="s">
        <v>52</v>
      </c>
    </row>
    <row r="486" customFormat="false" ht="15" hidden="false" customHeight="false" outlineLevel="0" collapsed="false">
      <c r="A486" s="2" t="s">
        <v>540</v>
      </c>
      <c r="B486" s="3" t="n">
        <v>45861</v>
      </c>
      <c r="C486" s="2" t="s">
        <v>30</v>
      </c>
      <c r="D486" s="2" t="s">
        <v>77</v>
      </c>
      <c r="E486" s="2" t="s">
        <v>68</v>
      </c>
      <c r="F486" s="4" t="str">
        <f aca="false">INDEX(Products!$B$2:$B$9,MATCH(E486,Products!$A$2:$A$9,0))</f>
        <v>Premium Support</v>
      </c>
      <c r="G486" s="4" t="str">
        <f aca="false">INDEX(Products!$C$2:$C$9,MATCH(E486,Products!$A$2:$A$9,0))</f>
        <v>Services</v>
      </c>
      <c r="H486" s="5" t="n">
        <v>3</v>
      </c>
      <c r="I486" s="6" t="n">
        <f aca="false">INDEX(Products!$D$2:$D$9,MATCH(E486,Products!$A$2:$A$9,0))</f>
        <v>600</v>
      </c>
      <c r="J486" s="7" t="n">
        <v>0</v>
      </c>
      <c r="K486" s="8" t="n">
        <f aca="false">H486*I486*(1-J486)</f>
        <v>1800</v>
      </c>
      <c r="L486" s="6" t="n">
        <f aca="false">H486*INDEX(Products!$E$2:$E$9,MATCH(E486,Products!$A$2:$A$9,0))</f>
        <v>1185</v>
      </c>
      <c r="M486" s="8" t="n">
        <f aca="false">K486-L486</f>
        <v>615</v>
      </c>
      <c r="N486" s="2" t="s">
        <v>28</v>
      </c>
      <c r="O486" s="2" t="s">
        <v>64</v>
      </c>
    </row>
    <row r="487" customFormat="false" ht="15" hidden="false" customHeight="false" outlineLevel="0" collapsed="false">
      <c r="A487" s="2" t="s">
        <v>541</v>
      </c>
      <c r="B487" s="3" t="n">
        <v>45861</v>
      </c>
      <c r="C487" s="2" t="s">
        <v>41</v>
      </c>
      <c r="D487" s="2" t="s">
        <v>66</v>
      </c>
      <c r="E487" s="2" t="s">
        <v>61</v>
      </c>
      <c r="F487" s="4" t="str">
        <f aca="false">INDEX(Products!$B$2:$B$9,MATCH(E487,Products!$A$2:$A$9,0))</f>
        <v>Install Service</v>
      </c>
      <c r="G487" s="4" t="str">
        <f aca="false">INDEX(Products!$C$2:$C$9,MATCH(E487,Products!$A$2:$A$9,0))</f>
        <v>Services</v>
      </c>
      <c r="H487" s="5" t="n">
        <v>3</v>
      </c>
      <c r="I487" s="6" t="n">
        <f aca="false">INDEX(Products!$D$2:$D$9,MATCH(E487,Products!$A$2:$A$9,0))</f>
        <v>450</v>
      </c>
      <c r="J487" s="7" t="n">
        <v>0.1</v>
      </c>
      <c r="K487" s="8" t="n">
        <f aca="false">H487*I487*(1-J487)</f>
        <v>1215</v>
      </c>
      <c r="L487" s="6" t="n">
        <f aca="false">H487*INDEX(Products!$E$2:$E$9,MATCH(E487,Products!$A$2:$A$9,0))</f>
        <v>930</v>
      </c>
      <c r="M487" s="8" t="n">
        <f aca="false">K487-L487</f>
        <v>285</v>
      </c>
      <c r="N487" s="2" t="s">
        <v>19</v>
      </c>
      <c r="O487" s="2" t="s">
        <v>43</v>
      </c>
    </row>
    <row r="488" customFormat="false" ht="15" hidden="false" customHeight="false" outlineLevel="0" collapsed="false">
      <c r="A488" s="2" t="s">
        <v>542</v>
      </c>
      <c r="B488" s="3" t="n">
        <v>45861</v>
      </c>
      <c r="C488" s="2" t="s">
        <v>16</v>
      </c>
      <c r="D488" s="2" t="s">
        <v>35</v>
      </c>
      <c r="E488" s="2" t="s">
        <v>18</v>
      </c>
      <c r="F488" s="4" t="str">
        <f aca="false">INDEX(Products!$B$2:$B$9,MATCH(E488,Products!$A$2:$A$9,0))</f>
        <v>Sensor Hub Pro</v>
      </c>
      <c r="G488" s="4" t="str">
        <f aca="false">INDEX(Products!$C$2:$C$9,MATCH(E488,Products!$A$2:$A$9,0))</f>
        <v>Hardware</v>
      </c>
      <c r="H488" s="5" t="n">
        <v>3</v>
      </c>
      <c r="I488" s="6" t="n">
        <f aca="false">INDEX(Products!$D$2:$D$9,MATCH(E488,Products!$A$2:$A$9,0))</f>
        <v>349</v>
      </c>
      <c r="J488" s="7" t="n">
        <v>0</v>
      </c>
      <c r="K488" s="8" t="n">
        <f aca="false">H488*I488*(1-J488)</f>
        <v>1047</v>
      </c>
      <c r="L488" s="6" t="n">
        <f aca="false">H488*INDEX(Products!$E$2:$E$9,MATCH(E488,Products!$A$2:$A$9,0))</f>
        <v>603</v>
      </c>
      <c r="M488" s="8" t="n">
        <f aca="false">K488-L488</f>
        <v>444</v>
      </c>
      <c r="N488" s="2" t="s">
        <v>28</v>
      </c>
      <c r="O488" s="2" t="s">
        <v>20</v>
      </c>
    </row>
    <row r="489" customFormat="false" ht="15" hidden="false" customHeight="false" outlineLevel="0" collapsed="false">
      <c r="A489" s="2" t="s">
        <v>543</v>
      </c>
      <c r="B489" s="3" t="n">
        <v>45862</v>
      </c>
      <c r="C489" s="2" t="s">
        <v>16</v>
      </c>
      <c r="D489" s="2" t="s">
        <v>17</v>
      </c>
      <c r="E489" s="2" t="s">
        <v>23</v>
      </c>
      <c r="F489" s="4" t="str">
        <f aca="false">INDEX(Products!$B$2:$B$9,MATCH(E489,Products!$A$2:$A$9,0))</f>
        <v>Sensor Hub S</v>
      </c>
      <c r="G489" s="4" t="str">
        <f aca="false">INDEX(Products!$C$2:$C$9,MATCH(E489,Products!$A$2:$A$9,0))</f>
        <v>Hardware</v>
      </c>
      <c r="H489" s="5" t="n">
        <v>20</v>
      </c>
      <c r="I489" s="6" t="n">
        <f aca="false">INDEX(Products!$D$2:$D$9,MATCH(E489,Products!$A$2:$A$9,0))</f>
        <v>189</v>
      </c>
      <c r="J489" s="7" t="n">
        <v>0.15</v>
      </c>
      <c r="K489" s="8" t="n">
        <f aca="false">H489*I489*(1-J489)</f>
        <v>3213</v>
      </c>
      <c r="L489" s="6" t="n">
        <f aca="false">H489*INDEX(Products!$E$2:$E$9,MATCH(E489,Products!$A$2:$A$9,0))</f>
        <v>1960</v>
      </c>
      <c r="M489" s="8" t="n">
        <f aca="false">K489-L489</f>
        <v>1253</v>
      </c>
      <c r="N489" s="2" t="s">
        <v>19</v>
      </c>
      <c r="O489" s="2" t="s">
        <v>20</v>
      </c>
    </row>
    <row r="490" customFormat="false" ht="15" hidden="false" customHeight="false" outlineLevel="0" collapsed="false">
      <c r="A490" s="2" t="s">
        <v>544</v>
      </c>
      <c r="B490" s="3" t="n">
        <v>45862</v>
      </c>
      <c r="C490" s="2" t="s">
        <v>30</v>
      </c>
      <c r="D490" s="2" t="s">
        <v>77</v>
      </c>
      <c r="E490" s="2" t="s">
        <v>26</v>
      </c>
      <c r="F490" s="4" t="str">
        <f aca="false">INDEX(Products!$B$2:$B$9,MATCH(E490,Products!$A$2:$A$9,0))</f>
        <v>Analytics Basic</v>
      </c>
      <c r="G490" s="4" t="str">
        <f aca="false">INDEX(Products!$C$2:$C$9,MATCH(E490,Products!$A$2:$A$9,0))</f>
        <v>Software</v>
      </c>
      <c r="H490" s="5" t="n">
        <v>5</v>
      </c>
      <c r="I490" s="6" t="n">
        <f aca="false">INDEX(Products!$D$2:$D$9,MATCH(E490,Products!$A$2:$A$9,0))</f>
        <v>120</v>
      </c>
      <c r="J490" s="7" t="n">
        <v>0</v>
      </c>
      <c r="K490" s="8" t="n">
        <f aca="false">H490*I490*(1-J490)</f>
        <v>600</v>
      </c>
      <c r="L490" s="6" t="n">
        <f aca="false">H490*INDEX(Products!$E$2:$E$9,MATCH(E490,Products!$A$2:$A$9,0))</f>
        <v>90</v>
      </c>
      <c r="M490" s="8" t="n">
        <f aca="false">K490-L490</f>
        <v>510</v>
      </c>
      <c r="N490" s="2" t="s">
        <v>28</v>
      </c>
      <c r="O490" s="2" t="s">
        <v>64</v>
      </c>
    </row>
    <row r="491" customFormat="false" ht="15" hidden="false" customHeight="false" outlineLevel="0" collapsed="false">
      <c r="A491" s="2" t="s">
        <v>545</v>
      </c>
      <c r="B491" s="3" t="n">
        <v>45863</v>
      </c>
      <c r="C491" s="2" t="s">
        <v>30</v>
      </c>
      <c r="D491" s="2" t="s">
        <v>77</v>
      </c>
      <c r="E491" s="2" t="s">
        <v>23</v>
      </c>
      <c r="F491" s="4" t="str">
        <f aca="false">INDEX(Products!$B$2:$B$9,MATCH(E491,Products!$A$2:$A$9,0))</f>
        <v>Sensor Hub S</v>
      </c>
      <c r="G491" s="4" t="str">
        <f aca="false">INDEX(Products!$C$2:$C$9,MATCH(E491,Products!$A$2:$A$9,0))</f>
        <v>Hardware</v>
      </c>
      <c r="H491" s="5" t="n">
        <v>2</v>
      </c>
      <c r="I491" s="6" t="n">
        <f aca="false">INDEX(Products!$D$2:$D$9,MATCH(E491,Products!$A$2:$A$9,0))</f>
        <v>189</v>
      </c>
      <c r="J491" s="7" t="n">
        <v>0.05</v>
      </c>
      <c r="K491" s="8" t="n">
        <f aca="false">H491*I491*(1-J491)</f>
        <v>359.1</v>
      </c>
      <c r="L491" s="6" t="n">
        <f aca="false">H491*INDEX(Products!$E$2:$E$9,MATCH(E491,Products!$A$2:$A$9,0))</f>
        <v>196</v>
      </c>
      <c r="M491" s="8" t="n">
        <f aca="false">K491-L491</f>
        <v>163.1</v>
      </c>
      <c r="N491" s="2" t="s">
        <v>28</v>
      </c>
      <c r="O491" s="2" t="s">
        <v>64</v>
      </c>
    </row>
    <row r="492" customFormat="false" ht="15" hidden="false" customHeight="false" outlineLevel="0" collapsed="false">
      <c r="A492" s="2" t="s">
        <v>546</v>
      </c>
      <c r="B492" s="3" t="n">
        <v>45863</v>
      </c>
      <c r="C492" s="2" t="s">
        <v>47</v>
      </c>
      <c r="D492" s="2" t="s">
        <v>48</v>
      </c>
      <c r="E492" s="2" t="s">
        <v>61</v>
      </c>
      <c r="F492" s="4" t="str">
        <f aca="false">INDEX(Products!$B$2:$B$9,MATCH(E492,Products!$A$2:$A$9,0))</f>
        <v>Install Service</v>
      </c>
      <c r="G492" s="4" t="str">
        <f aca="false">INDEX(Products!$C$2:$C$9,MATCH(E492,Products!$A$2:$A$9,0))</f>
        <v>Services</v>
      </c>
      <c r="H492" s="5" t="n">
        <v>1</v>
      </c>
      <c r="I492" s="6" t="n">
        <f aca="false">INDEX(Products!$D$2:$D$9,MATCH(E492,Products!$A$2:$A$9,0))</f>
        <v>450</v>
      </c>
      <c r="J492" s="7" t="n">
        <v>0.1</v>
      </c>
      <c r="K492" s="8" t="n">
        <f aca="false">H492*I492*(1-J492)</f>
        <v>405</v>
      </c>
      <c r="L492" s="6" t="n">
        <f aca="false">H492*INDEX(Products!$E$2:$E$9,MATCH(E492,Products!$A$2:$A$9,0))</f>
        <v>310</v>
      </c>
      <c r="M492" s="8" t="n">
        <f aca="false">K492-L492</f>
        <v>95</v>
      </c>
      <c r="N492" s="2" t="s">
        <v>28</v>
      </c>
      <c r="O492" s="2" t="s">
        <v>50</v>
      </c>
    </row>
    <row r="493" customFormat="false" ht="15" hidden="false" customHeight="false" outlineLevel="0" collapsed="false">
      <c r="A493" s="2" t="s">
        <v>547</v>
      </c>
      <c r="B493" s="3" t="n">
        <v>45864</v>
      </c>
      <c r="C493" s="2" t="s">
        <v>41</v>
      </c>
      <c r="D493" s="2" t="s">
        <v>42</v>
      </c>
      <c r="E493" s="2" t="s">
        <v>23</v>
      </c>
      <c r="F493" s="4" t="str">
        <f aca="false">INDEX(Products!$B$2:$B$9,MATCH(E493,Products!$A$2:$A$9,0))</f>
        <v>Sensor Hub S</v>
      </c>
      <c r="G493" s="4" t="str">
        <f aca="false">INDEX(Products!$C$2:$C$9,MATCH(E493,Products!$A$2:$A$9,0))</f>
        <v>Hardware</v>
      </c>
      <c r="H493" s="5" t="n">
        <v>2</v>
      </c>
      <c r="I493" s="6" t="n">
        <f aca="false">INDEX(Products!$D$2:$D$9,MATCH(E493,Products!$A$2:$A$9,0))</f>
        <v>189</v>
      </c>
      <c r="J493" s="7" t="n">
        <v>0.15</v>
      </c>
      <c r="K493" s="8" t="n">
        <f aca="false">H493*I493*(1-J493)</f>
        <v>321.3</v>
      </c>
      <c r="L493" s="6" t="n">
        <f aca="false">H493*INDEX(Products!$E$2:$E$9,MATCH(E493,Products!$A$2:$A$9,0))</f>
        <v>196</v>
      </c>
      <c r="M493" s="8" t="n">
        <f aca="false">K493-L493</f>
        <v>125.3</v>
      </c>
      <c r="N493" s="2" t="s">
        <v>28</v>
      </c>
      <c r="O493" s="2" t="s">
        <v>43</v>
      </c>
    </row>
    <row r="494" customFormat="false" ht="15" hidden="false" customHeight="false" outlineLevel="0" collapsed="false">
      <c r="A494" s="2" t="s">
        <v>548</v>
      </c>
      <c r="B494" s="3" t="n">
        <v>45866</v>
      </c>
      <c r="C494" s="2" t="s">
        <v>59</v>
      </c>
      <c r="D494" s="2" t="s">
        <v>91</v>
      </c>
      <c r="E494" s="2" t="s">
        <v>57</v>
      </c>
      <c r="F494" s="4" t="str">
        <f aca="false">INDEX(Products!$B$2:$B$9,MATCH(E494,Products!$A$2:$A$9,0))</f>
        <v>Edge Gateway</v>
      </c>
      <c r="G494" s="4" t="str">
        <f aca="false">INDEX(Products!$C$2:$C$9,MATCH(E494,Products!$A$2:$A$9,0))</f>
        <v>Hardware</v>
      </c>
      <c r="H494" s="5" t="n">
        <v>1</v>
      </c>
      <c r="I494" s="6" t="n">
        <f aca="false">INDEX(Products!$D$2:$D$9,MATCH(E494,Products!$A$2:$A$9,0))</f>
        <v>899</v>
      </c>
      <c r="J494" s="7" t="n">
        <v>0.2</v>
      </c>
      <c r="K494" s="8" t="n">
        <f aca="false">H494*I494*(1-J494)</f>
        <v>719.2</v>
      </c>
      <c r="L494" s="6" t="n">
        <f aca="false">H494*INDEX(Products!$E$2:$E$9,MATCH(E494,Products!$A$2:$A$9,0))</f>
        <v>612</v>
      </c>
      <c r="M494" s="8" t="n">
        <f aca="false">K494-L494</f>
        <v>107.2</v>
      </c>
      <c r="N494" s="2" t="s">
        <v>19</v>
      </c>
      <c r="O494" s="2" t="s">
        <v>62</v>
      </c>
    </row>
    <row r="495" customFormat="false" ht="15" hidden="false" customHeight="false" outlineLevel="0" collapsed="false">
      <c r="A495" s="2" t="s">
        <v>549</v>
      </c>
      <c r="B495" s="3" t="n">
        <v>45866</v>
      </c>
      <c r="C495" s="2" t="s">
        <v>30</v>
      </c>
      <c r="D495" s="2" t="s">
        <v>31</v>
      </c>
      <c r="E495" s="2" t="s">
        <v>61</v>
      </c>
      <c r="F495" s="4" t="str">
        <f aca="false">INDEX(Products!$B$2:$B$9,MATCH(E495,Products!$A$2:$A$9,0))</f>
        <v>Install Service</v>
      </c>
      <c r="G495" s="4" t="str">
        <f aca="false">INDEX(Products!$C$2:$C$9,MATCH(E495,Products!$A$2:$A$9,0))</f>
        <v>Services</v>
      </c>
      <c r="H495" s="5" t="n">
        <v>3</v>
      </c>
      <c r="I495" s="6" t="n">
        <f aca="false">INDEX(Products!$D$2:$D$9,MATCH(E495,Products!$A$2:$A$9,0))</f>
        <v>450</v>
      </c>
      <c r="J495" s="7" t="n">
        <v>0.1</v>
      </c>
      <c r="K495" s="8" t="n">
        <f aca="false">H495*I495*(1-J495)</f>
        <v>1215</v>
      </c>
      <c r="L495" s="6" t="n">
        <f aca="false">H495*INDEX(Products!$E$2:$E$9,MATCH(E495,Products!$A$2:$A$9,0))</f>
        <v>930</v>
      </c>
      <c r="M495" s="8" t="n">
        <f aca="false">K495-L495</f>
        <v>285</v>
      </c>
      <c r="N495" s="2" t="s">
        <v>28</v>
      </c>
      <c r="O495" s="2" t="s">
        <v>64</v>
      </c>
    </row>
    <row r="496" customFormat="false" ht="15" hidden="false" customHeight="false" outlineLevel="0" collapsed="false">
      <c r="A496" s="2" t="s">
        <v>550</v>
      </c>
      <c r="B496" s="3" t="n">
        <v>45867</v>
      </c>
      <c r="C496" s="2" t="s">
        <v>16</v>
      </c>
      <c r="D496" s="2" t="s">
        <v>35</v>
      </c>
      <c r="E496" s="2" t="s">
        <v>68</v>
      </c>
      <c r="F496" s="4" t="str">
        <f aca="false">INDEX(Products!$B$2:$B$9,MATCH(E496,Products!$A$2:$A$9,0))</f>
        <v>Premium Support</v>
      </c>
      <c r="G496" s="4" t="str">
        <f aca="false">INDEX(Products!$C$2:$C$9,MATCH(E496,Products!$A$2:$A$9,0))</f>
        <v>Services</v>
      </c>
      <c r="H496" s="5" t="n">
        <v>1</v>
      </c>
      <c r="I496" s="6" t="n">
        <f aca="false">INDEX(Products!$D$2:$D$9,MATCH(E496,Products!$A$2:$A$9,0))</f>
        <v>600</v>
      </c>
      <c r="J496" s="7" t="n">
        <v>0.05</v>
      </c>
      <c r="K496" s="8" t="n">
        <f aca="false">H496*I496*(1-J496)</f>
        <v>570</v>
      </c>
      <c r="L496" s="6" t="n">
        <f aca="false">H496*INDEX(Products!$E$2:$E$9,MATCH(E496,Products!$A$2:$A$9,0))</f>
        <v>395</v>
      </c>
      <c r="M496" s="8" t="n">
        <f aca="false">K496-L496</f>
        <v>175</v>
      </c>
      <c r="N496" s="2" t="s">
        <v>28</v>
      </c>
      <c r="O496" s="2" t="s">
        <v>36</v>
      </c>
    </row>
    <row r="497" customFormat="false" ht="15" hidden="false" customHeight="false" outlineLevel="0" collapsed="false">
      <c r="A497" s="2" t="s">
        <v>551</v>
      </c>
      <c r="B497" s="3" t="n">
        <v>45867</v>
      </c>
      <c r="C497" s="2" t="s">
        <v>16</v>
      </c>
      <c r="D497" s="2" t="s">
        <v>35</v>
      </c>
      <c r="E497" s="2" t="s">
        <v>23</v>
      </c>
      <c r="F497" s="4" t="str">
        <f aca="false">INDEX(Products!$B$2:$B$9,MATCH(E497,Products!$A$2:$A$9,0))</f>
        <v>Sensor Hub S</v>
      </c>
      <c r="G497" s="4" t="str">
        <f aca="false">INDEX(Products!$C$2:$C$9,MATCH(E497,Products!$A$2:$A$9,0))</f>
        <v>Hardware</v>
      </c>
      <c r="H497" s="5" t="n">
        <v>3</v>
      </c>
      <c r="I497" s="6" t="n">
        <f aca="false">INDEX(Products!$D$2:$D$9,MATCH(E497,Products!$A$2:$A$9,0))</f>
        <v>189</v>
      </c>
      <c r="J497" s="7" t="n">
        <v>0.05</v>
      </c>
      <c r="K497" s="8" t="n">
        <f aca="false">H497*I497*(1-J497)</f>
        <v>538.65</v>
      </c>
      <c r="L497" s="6" t="n">
        <f aca="false">H497*INDEX(Products!$E$2:$E$9,MATCH(E497,Products!$A$2:$A$9,0))</f>
        <v>294</v>
      </c>
      <c r="M497" s="8" t="n">
        <f aca="false">K497-L497</f>
        <v>244.65</v>
      </c>
      <c r="N497" s="2" t="s">
        <v>28</v>
      </c>
      <c r="O497" s="2" t="s">
        <v>20</v>
      </c>
    </row>
    <row r="498" customFormat="false" ht="15" hidden="false" customHeight="false" outlineLevel="0" collapsed="false">
      <c r="A498" s="2" t="s">
        <v>552</v>
      </c>
      <c r="B498" s="3" t="n">
        <v>45868</v>
      </c>
      <c r="C498" s="2" t="s">
        <v>47</v>
      </c>
      <c r="D498" s="2" t="s">
        <v>71</v>
      </c>
      <c r="E498" s="2" t="s">
        <v>49</v>
      </c>
      <c r="F498" s="4" t="str">
        <f aca="false">INDEX(Products!$B$2:$B$9,MATCH(E498,Products!$A$2:$A$9,0))</f>
        <v>Mounting Kit</v>
      </c>
      <c r="G498" s="4" t="str">
        <f aca="false">INDEX(Products!$C$2:$C$9,MATCH(E498,Products!$A$2:$A$9,0))</f>
        <v>Accessories</v>
      </c>
      <c r="H498" s="5" t="n">
        <v>4</v>
      </c>
      <c r="I498" s="6" t="n">
        <f aca="false">INDEX(Products!$D$2:$D$9,MATCH(E498,Products!$A$2:$A$9,0))</f>
        <v>39</v>
      </c>
      <c r="J498" s="7" t="n">
        <v>0.1</v>
      </c>
      <c r="K498" s="8" t="n">
        <f aca="false">H498*I498*(1-J498)</f>
        <v>140.4</v>
      </c>
      <c r="L498" s="6" t="n">
        <f aca="false">H498*INDEX(Products!$E$2:$E$9,MATCH(E498,Products!$A$2:$A$9,0))</f>
        <v>126</v>
      </c>
      <c r="M498" s="8" t="n">
        <f aca="false">K498-L498</f>
        <v>14.4</v>
      </c>
      <c r="N498" s="2" t="s">
        <v>19</v>
      </c>
      <c r="O498" s="2" t="s">
        <v>72</v>
      </c>
    </row>
    <row r="499" customFormat="false" ht="15" hidden="false" customHeight="false" outlineLevel="0" collapsed="false">
      <c r="A499" s="2" t="s">
        <v>553</v>
      </c>
      <c r="B499" s="3" t="n">
        <v>45868</v>
      </c>
      <c r="C499" s="2" t="s">
        <v>16</v>
      </c>
      <c r="D499" s="2" t="s">
        <v>22</v>
      </c>
      <c r="E499" s="2" t="s">
        <v>61</v>
      </c>
      <c r="F499" s="4" t="str">
        <f aca="false">INDEX(Products!$B$2:$B$9,MATCH(E499,Products!$A$2:$A$9,0))</f>
        <v>Install Service</v>
      </c>
      <c r="G499" s="4" t="str">
        <f aca="false">INDEX(Products!$C$2:$C$9,MATCH(E499,Products!$A$2:$A$9,0))</f>
        <v>Services</v>
      </c>
      <c r="H499" s="5" t="n">
        <v>1</v>
      </c>
      <c r="I499" s="6" t="n">
        <f aca="false">INDEX(Products!$D$2:$D$9,MATCH(E499,Products!$A$2:$A$9,0))</f>
        <v>450</v>
      </c>
      <c r="J499" s="7" t="n">
        <v>0</v>
      </c>
      <c r="K499" s="8" t="n">
        <f aca="false">H499*I499*(1-J499)</f>
        <v>450</v>
      </c>
      <c r="L499" s="6" t="n">
        <f aca="false">H499*INDEX(Products!$E$2:$E$9,MATCH(E499,Products!$A$2:$A$9,0))</f>
        <v>310</v>
      </c>
      <c r="M499" s="8" t="n">
        <f aca="false">K499-L499</f>
        <v>140</v>
      </c>
      <c r="N499" s="2" t="s">
        <v>28</v>
      </c>
      <c r="O499" s="2" t="s">
        <v>36</v>
      </c>
    </row>
    <row r="500" customFormat="false" ht="15" hidden="false" customHeight="false" outlineLevel="0" collapsed="false">
      <c r="A500" s="2" t="s">
        <v>554</v>
      </c>
      <c r="B500" s="3" t="n">
        <v>45868</v>
      </c>
      <c r="C500" s="2" t="s">
        <v>47</v>
      </c>
      <c r="D500" s="2" t="s">
        <v>157</v>
      </c>
      <c r="E500" s="2" t="s">
        <v>32</v>
      </c>
      <c r="F500" s="4" t="str">
        <f aca="false">INDEX(Products!$B$2:$B$9,MATCH(E500,Products!$A$2:$A$9,0))</f>
        <v>Analytics Plus</v>
      </c>
      <c r="G500" s="4" t="str">
        <f aca="false">INDEX(Products!$C$2:$C$9,MATCH(E500,Products!$A$2:$A$9,0))</f>
        <v>Software</v>
      </c>
      <c r="H500" s="5" t="n">
        <v>1</v>
      </c>
      <c r="I500" s="6" t="n">
        <f aca="false">INDEX(Products!$D$2:$D$9,MATCH(E500,Products!$A$2:$A$9,0))</f>
        <v>290</v>
      </c>
      <c r="J500" s="7" t="n">
        <v>0.1</v>
      </c>
      <c r="K500" s="8" t="n">
        <f aca="false">H500*I500*(1-J500)</f>
        <v>261</v>
      </c>
      <c r="L500" s="6" t="n">
        <f aca="false">H500*INDEX(Products!$E$2:$E$9,MATCH(E500,Products!$A$2:$A$9,0))</f>
        <v>41</v>
      </c>
      <c r="M500" s="8" t="n">
        <f aca="false">K500-L500</f>
        <v>220</v>
      </c>
      <c r="N500" s="2" t="s">
        <v>28</v>
      </c>
      <c r="O500" s="2" t="s">
        <v>72</v>
      </c>
    </row>
    <row r="501" customFormat="false" ht="15" hidden="false" customHeight="false" outlineLevel="0" collapsed="false">
      <c r="A501" s="2" t="s">
        <v>555</v>
      </c>
      <c r="B501" s="3" t="n">
        <v>45868</v>
      </c>
      <c r="C501" s="2" t="s">
        <v>41</v>
      </c>
      <c r="D501" s="2" t="s">
        <v>42</v>
      </c>
      <c r="E501" s="2" t="s">
        <v>23</v>
      </c>
      <c r="F501" s="4" t="str">
        <f aca="false">INDEX(Products!$B$2:$B$9,MATCH(E501,Products!$A$2:$A$9,0))</f>
        <v>Sensor Hub S</v>
      </c>
      <c r="G501" s="4" t="str">
        <f aca="false">INDEX(Products!$C$2:$C$9,MATCH(E501,Products!$A$2:$A$9,0))</f>
        <v>Hardware</v>
      </c>
      <c r="H501" s="5" t="n">
        <v>1</v>
      </c>
      <c r="I501" s="6" t="n">
        <f aca="false">INDEX(Products!$D$2:$D$9,MATCH(E501,Products!$A$2:$A$9,0))</f>
        <v>189</v>
      </c>
      <c r="J501" s="7" t="n">
        <v>0.1</v>
      </c>
      <c r="K501" s="8" t="n">
        <f aca="false">H501*I501*(1-J501)</f>
        <v>170.1</v>
      </c>
      <c r="L501" s="6" t="n">
        <f aca="false">H501*INDEX(Products!$E$2:$E$9,MATCH(E501,Products!$A$2:$A$9,0))</f>
        <v>98</v>
      </c>
      <c r="M501" s="8" t="n">
        <f aca="false">K501-L501</f>
        <v>72.1</v>
      </c>
      <c r="N501" s="2" t="s">
        <v>19</v>
      </c>
      <c r="O501" s="2" t="s">
        <v>43</v>
      </c>
    </row>
    <row r="502" customFormat="false" ht="15" hidden="false" customHeight="false" outlineLevel="0" collapsed="false">
      <c r="A502" s="2" t="s">
        <v>556</v>
      </c>
      <c r="B502" s="3" t="n">
        <v>45868</v>
      </c>
      <c r="C502" s="2" t="s">
        <v>47</v>
      </c>
      <c r="D502" s="2" t="s">
        <v>48</v>
      </c>
      <c r="E502" s="2" t="s">
        <v>57</v>
      </c>
      <c r="F502" s="4" t="str">
        <f aca="false">INDEX(Products!$B$2:$B$9,MATCH(E502,Products!$A$2:$A$9,0))</f>
        <v>Edge Gateway</v>
      </c>
      <c r="G502" s="4" t="str">
        <f aca="false">INDEX(Products!$C$2:$C$9,MATCH(E502,Products!$A$2:$A$9,0))</f>
        <v>Hardware</v>
      </c>
      <c r="H502" s="5" t="n">
        <v>10</v>
      </c>
      <c r="I502" s="6" t="n">
        <f aca="false">INDEX(Products!$D$2:$D$9,MATCH(E502,Products!$A$2:$A$9,0))</f>
        <v>899</v>
      </c>
      <c r="J502" s="7" t="n">
        <v>0.1</v>
      </c>
      <c r="K502" s="8" t="n">
        <f aca="false">H502*I502*(1-J502)</f>
        <v>8091</v>
      </c>
      <c r="L502" s="6" t="n">
        <f aca="false">H502*INDEX(Products!$E$2:$E$9,MATCH(E502,Products!$A$2:$A$9,0))</f>
        <v>6120</v>
      </c>
      <c r="M502" s="8" t="n">
        <f aca="false">K502-L502</f>
        <v>1971</v>
      </c>
      <c r="N502" s="2" t="s">
        <v>28</v>
      </c>
      <c r="O502" s="2" t="s">
        <v>72</v>
      </c>
    </row>
    <row r="503" customFormat="false" ht="15" hidden="false" customHeight="false" outlineLevel="0" collapsed="false">
      <c r="A503" s="2" t="s">
        <v>557</v>
      </c>
      <c r="B503" s="3" t="n">
        <v>45869</v>
      </c>
      <c r="C503" s="2" t="s">
        <v>41</v>
      </c>
      <c r="D503" s="2" t="s">
        <v>66</v>
      </c>
      <c r="E503" s="2" t="s">
        <v>32</v>
      </c>
      <c r="F503" s="4" t="str">
        <f aca="false">INDEX(Products!$B$2:$B$9,MATCH(E503,Products!$A$2:$A$9,0))</f>
        <v>Analytics Plus</v>
      </c>
      <c r="G503" s="4" t="str">
        <f aca="false">INDEX(Products!$C$2:$C$9,MATCH(E503,Products!$A$2:$A$9,0))</f>
        <v>Software</v>
      </c>
      <c r="H503" s="5" t="n">
        <v>1</v>
      </c>
      <c r="I503" s="6" t="n">
        <f aca="false">INDEX(Products!$D$2:$D$9,MATCH(E503,Products!$A$2:$A$9,0))</f>
        <v>290</v>
      </c>
      <c r="J503" s="7" t="n">
        <v>0</v>
      </c>
      <c r="K503" s="8" t="n">
        <f aca="false">H503*I503*(1-J503)</f>
        <v>290</v>
      </c>
      <c r="L503" s="6" t="n">
        <f aca="false">H503*INDEX(Products!$E$2:$E$9,MATCH(E503,Products!$A$2:$A$9,0))</f>
        <v>41</v>
      </c>
      <c r="M503" s="8" t="n">
        <f aca="false">K503-L503</f>
        <v>249</v>
      </c>
      <c r="N503" s="2" t="s">
        <v>28</v>
      </c>
      <c r="O503" s="2" t="s">
        <v>43</v>
      </c>
    </row>
    <row r="504" customFormat="false" ht="15" hidden="false" customHeight="false" outlineLevel="0" collapsed="false">
      <c r="A504" s="2" t="s">
        <v>558</v>
      </c>
      <c r="B504" s="3" t="n">
        <v>45873</v>
      </c>
      <c r="C504" s="2" t="s">
        <v>47</v>
      </c>
      <c r="D504" s="2" t="s">
        <v>157</v>
      </c>
      <c r="E504" s="2" t="s">
        <v>32</v>
      </c>
      <c r="F504" s="4" t="str">
        <f aca="false">INDEX(Products!$B$2:$B$9,MATCH(E504,Products!$A$2:$A$9,0))</f>
        <v>Analytics Plus</v>
      </c>
      <c r="G504" s="4" t="str">
        <f aca="false">INDEX(Products!$C$2:$C$9,MATCH(E504,Products!$A$2:$A$9,0))</f>
        <v>Software</v>
      </c>
      <c r="H504" s="5" t="n">
        <v>1</v>
      </c>
      <c r="I504" s="6" t="n">
        <f aca="false">INDEX(Products!$D$2:$D$9,MATCH(E504,Products!$A$2:$A$9,0))</f>
        <v>290</v>
      </c>
      <c r="J504" s="7" t="n">
        <v>0.1</v>
      </c>
      <c r="K504" s="8" t="n">
        <f aca="false">H504*I504*(1-J504)</f>
        <v>261</v>
      </c>
      <c r="L504" s="6" t="n">
        <f aca="false">H504*INDEX(Products!$E$2:$E$9,MATCH(E504,Products!$A$2:$A$9,0))</f>
        <v>41</v>
      </c>
      <c r="M504" s="8" t="n">
        <f aca="false">K504-L504</f>
        <v>220</v>
      </c>
      <c r="N504" s="2" t="s">
        <v>19</v>
      </c>
      <c r="O504" s="2" t="s">
        <v>50</v>
      </c>
    </row>
    <row r="505" customFormat="false" ht="15" hidden="false" customHeight="false" outlineLevel="0" collapsed="false">
      <c r="A505" s="2" t="s">
        <v>559</v>
      </c>
      <c r="B505" s="3" t="n">
        <v>45873</v>
      </c>
      <c r="C505" s="2" t="s">
        <v>16</v>
      </c>
      <c r="D505" s="2" t="s">
        <v>25</v>
      </c>
      <c r="E505" s="2" t="s">
        <v>23</v>
      </c>
      <c r="F505" s="4" t="str">
        <f aca="false">INDEX(Products!$B$2:$B$9,MATCH(E505,Products!$A$2:$A$9,0))</f>
        <v>Sensor Hub S</v>
      </c>
      <c r="G505" s="4" t="str">
        <f aca="false">INDEX(Products!$C$2:$C$9,MATCH(E505,Products!$A$2:$A$9,0))</f>
        <v>Hardware</v>
      </c>
      <c r="H505" s="5" t="n">
        <v>8</v>
      </c>
      <c r="I505" s="6" t="n">
        <f aca="false">INDEX(Products!$D$2:$D$9,MATCH(E505,Products!$A$2:$A$9,0))</f>
        <v>189</v>
      </c>
      <c r="J505" s="7" t="n">
        <v>0.1</v>
      </c>
      <c r="K505" s="8" t="n">
        <f aca="false">H505*I505*(1-J505)</f>
        <v>1360.8</v>
      </c>
      <c r="L505" s="6" t="n">
        <f aca="false">H505*INDEX(Products!$E$2:$E$9,MATCH(E505,Products!$A$2:$A$9,0))</f>
        <v>784</v>
      </c>
      <c r="M505" s="8" t="n">
        <f aca="false">K505-L505</f>
        <v>576.8</v>
      </c>
      <c r="N505" s="2" t="s">
        <v>38</v>
      </c>
      <c r="O505" s="2" t="s">
        <v>20</v>
      </c>
    </row>
    <row r="506" customFormat="false" ht="15" hidden="false" customHeight="false" outlineLevel="0" collapsed="false">
      <c r="A506" s="2" t="s">
        <v>560</v>
      </c>
      <c r="B506" s="3" t="n">
        <v>45874</v>
      </c>
      <c r="C506" s="2" t="s">
        <v>16</v>
      </c>
      <c r="D506" s="2" t="s">
        <v>17</v>
      </c>
      <c r="E506" s="2" t="s">
        <v>23</v>
      </c>
      <c r="F506" s="4" t="str">
        <f aca="false">INDEX(Products!$B$2:$B$9,MATCH(E506,Products!$A$2:$A$9,0))</f>
        <v>Sensor Hub S</v>
      </c>
      <c r="G506" s="4" t="str">
        <f aca="false">INDEX(Products!$C$2:$C$9,MATCH(E506,Products!$A$2:$A$9,0))</f>
        <v>Hardware</v>
      </c>
      <c r="H506" s="5" t="n">
        <v>12</v>
      </c>
      <c r="I506" s="6" t="n">
        <f aca="false">INDEX(Products!$D$2:$D$9,MATCH(E506,Products!$A$2:$A$9,0))</f>
        <v>189</v>
      </c>
      <c r="J506" s="7" t="n">
        <v>0.1</v>
      </c>
      <c r="K506" s="8" t="n">
        <f aca="false">H506*I506*(1-J506)</f>
        <v>2041.2</v>
      </c>
      <c r="L506" s="6" t="n">
        <f aca="false">H506*INDEX(Products!$E$2:$E$9,MATCH(E506,Products!$A$2:$A$9,0))</f>
        <v>1176</v>
      </c>
      <c r="M506" s="8" t="n">
        <f aca="false">K506-L506</f>
        <v>865.2</v>
      </c>
      <c r="N506" s="2" t="s">
        <v>19</v>
      </c>
      <c r="O506" s="2" t="s">
        <v>36</v>
      </c>
    </row>
    <row r="507" customFormat="false" ht="15" hidden="false" customHeight="false" outlineLevel="0" collapsed="false">
      <c r="A507" s="2" t="s">
        <v>561</v>
      </c>
      <c r="B507" s="3" t="n">
        <v>45874</v>
      </c>
      <c r="C507" s="2" t="s">
        <v>41</v>
      </c>
      <c r="D507" s="2" t="s">
        <v>66</v>
      </c>
      <c r="E507" s="2" t="s">
        <v>23</v>
      </c>
      <c r="F507" s="4" t="str">
        <f aca="false">INDEX(Products!$B$2:$B$9,MATCH(E507,Products!$A$2:$A$9,0))</f>
        <v>Sensor Hub S</v>
      </c>
      <c r="G507" s="4" t="str">
        <f aca="false">INDEX(Products!$C$2:$C$9,MATCH(E507,Products!$A$2:$A$9,0))</f>
        <v>Hardware</v>
      </c>
      <c r="H507" s="5" t="n">
        <v>3</v>
      </c>
      <c r="I507" s="6" t="n">
        <f aca="false">INDEX(Products!$D$2:$D$9,MATCH(E507,Products!$A$2:$A$9,0))</f>
        <v>189</v>
      </c>
      <c r="J507" s="7" t="n">
        <v>0.15</v>
      </c>
      <c r="K507" s="8" t="n">
        <f aca="false">H507*I507*(1-J507)</f>
        <v>481.95</v>
      </c>
      <c r="L507" s="6" t="n">
        <f aca="false">H507*INDEX(Products!$E$2:$E$9,MATCH(E507,Products!$A$2:$A$9,0))</f>
        <v>294</v>
      </c>
      <c r="M507" s="8" t="n">
        <f aca="false">K507-L507</f>
        <v>187.95</v>
      </c>
      <c r="N507" s="2" t="s">
        <v>19</v>
      </c>
      <c r="O507" s="2" t="s">
        <v>52</v>
      </c>
    </row>
    <row r="508" customFormat="false" ht="15" hidden="false" customHeight="false" outlineLevel="0" collapsed="false">
      <c r="A508" s="2" t="s">
        <v>562</v>
      </c>
      <c r="B508" s="3" t="n">
        <v>45875</v>
      </c>
      <c r="C508" s="2" t="s">
        <v>47</v>
      </c>
      <c r="D508" s="2" t="s">
        <v>157</v>
      </c>
      <c r="E508" s="2" t="s">
        <v>23</v>
      </c>
      <c r="F508" s="4" t="str">
        <f aca="false">INDEX(Products!$B$2:$B$9,MATCH(E508,Products!$A$2:$A$9,0))</f>
        <v>Sensor Hub S</v>
      </c>
      <c r="G508" s="4" t="str">
        <f aca="false">INDEX(Products!$C$2:$C$9,MATCH(E508,Products!$A$2:$A$9,0))</f>
        <v>Hardware</v>
      </c>
      <c r="H508" s="5" t="n">
        <v>2</v>
      </c>
      <c r="I508" s="6" t="n">
        <f aca="false">INDEX(Products!$D$2:$D$9,MATCH(E508,Products!$A$2:$A$9,0))</f>
        <v>189</v>
      </c>
      <c r="J508" s="7" t="n">
        <v>0.15</v>
      </c>
      <c r="K508" s="8" t="n">
        <f aca="false">H508*I508*(1-J508)</f>
        <v>321.3</v>
      </c>
      <c r="L508" s="6" t="n">
        <f aca="false">H508*INDEX(Products!$E$2:$E$9,MATCH(E508,Products!$A$2:$A$9,0))</f>
        <v>196</v>
      </c>
      <c r="M508" s="8" t="n">
        <f aca="false">K508-L508</f>
        <v>125.3</v>
      </c>
      <c r="N508" s="2" t="s">
        <v>38</v>
      </c>
      <c r="O508" s="2" t="s">
        <v>50</v>
      </c>
    </row>
    <row r="509" customFormat="false" ht="15" hidden="false" customHeight="false" outlineLevel="0" collapsed="false">
      <c r="A509" s="2" t="s">
        <v>563</v>
      </c>
      <c r="B509" s="3" t="n">
        <v>45875</v>
      </c>
      <c r="C509" s="2" t="s">
        <v>30</v>
      </c>
      <c r="D509" s="2" t="s">
        <v>31</v>
      </c>
      <c r="E509" s="2" t="s">
        <v>18</v>
      </c>
      <c r="F509" s="4" t="str">
        <f aca="false">INDEX(Products!$B$2:$B$9,MATCH(E509,Products!$A$2:$A$9,0))</f>
        <v>Sensor Hub Pro</v>
      </c>
      <c r="G509" s="4" t="str">
        <f aca="false">INDEX(Products!$C$2:$C$9,MATCH(E509,Products!$A$2:$A$9,0))</f>
        <v>Hardware</v>
      </c>
      <c r="H509" s="5" t="n">
        <v>1</v>
      </c>
      <c r="I509" s="6" t="n">
        <f aca="false">INDEX(Products!$D$2:$D$9,MATCH(E509,Products!$A$2:$A$9,0))</f>
        <v>349</v>
      </c>
      <c r="J509" s="7" t="n">
        <v>0.15</v>
      </c>
      <c r="K509" s="8" t="n">
        <f aca="false">H509*I509*(1-J509)</f>
        <v>296.65</v>
      </c>
      <c r="L509" s="6" t="n">
        <f aca="false">H509*INDEX(Products!$E$2:$E$9,MATCH(E509,Products!$A$2:$A$9,0))</f>
        <v>201</v>
      </c>
      <c r="M509" s="8" t="n">
        <f aca="false">K509-L509</f>
        <v>95.65</v>
      </c>
      <c r="N509" s="2" t="s">
        <v>28</v>
      </c>
      <c r="O509" s="2" t="s">
        <v>64</v>
      </c>
    </row>
    <row r="510" customFormat="false" ht="15" hidden="false" customHeight="false" outlineLevel="0" collapsed="false">
      <c r="A510" s="2" t="s">
        <v>564</v>
      </c>
      <c r="B510" s="3" t="n">
        <v>45876</v>
      </c>
      <c r="C510" s="2" t="s">
        <v>16</v>
      </c>
      <c r="D510" s="2" t="s">
        <v>17</v>
      </c>
      <c r="E510" s="2" t="s">
        <v>57</v>
      </c>
      <c r="F510" s="4" t="str">
        <f aca="false">INDEX(Products!$B$2:$B$9,MATCH(E510,Products!$A$2:$A$9,0))</f>
        <v>Edge Gateway</v>
      </c>
      <c r="G510" s="4" t="str">
        <f aca="false">INDEX(Products!$C$2:$C$9,MATCH(E510,Products!$A$2:$A$9,0))</f>
        <v>Hardware</v>
      </c>
      <c r="H510" s="5" t="n">
        <v>8</v>
      </c>
      <c r="I510" s="6" t="n">
        <f aca="false">INDEX(Products!$D$2:$D$9,MATCH(E510,Products!$A$2:$A$9,0))</f>
        <v>899</v>
      </c>
      <c r="J510" s="7" t="n">
        <v>0</v>
      </c>
      <c r="K510" s="8" t="n">
        <f aca="false">H510*I510*(1-J510)</f>
        <v>7192</v>
      </c>
      <c r="L510" s="6" t="n">
        <f aca="false">H510*INDEX(Products!$E$2:$E$9,MATCH(E510,Products!$A$2:$A$9,0))</f>
        <v>4896</v>
      </c>
      <c r="M510" s="8" t="n">
        <f aca="false">K510-L510</f>
        <v>2296</v>
      </c>
      <c r="N510" s="2" t="s">
        <v>38</v>
      </c>
      <c r="O510" s="2" t="s">
        <v>20</v>
      </c>
    </row>
    <row r="511" customFormat="false" ht="15" hidden="false" customHeight="false" outlineLevel="0" collapsed="false">
      <c r="A511" s="2" t="s">
        <v>565</v>
      </c>
      <c r="B511" s="3" t="n">
        <v>45876</v>
      </c>
      <c r="C511" s="2" t="s">
        <v>30</v>
      </c>
      <c r="D511" s="2" t="s">
        <v>77</v>
      </c>
      <c r="E511" s="2" t="s">
        <v>23</v>
      </c>
      <c r="F511" s="4" t="str">
        <f aca="false">INDEX(Products!$B$2:$B$9,MATCH(E511,Products!$A$2:$A$9,0))</f>
        <v>Sensor Hub S</v>
      </c>
      <c r="G511" s="4" t="str">
        <f aca="false">INDEX(Products!$C$2:$C$9,MATCH(E511,Products!$A$2:$A$9,0))</f>
        <v>Hardware</v>
      </c>
      <c r="H511" s="5" t="n">
        <v>5</v>
      </c>
      <c r="I511" s="6" t="n">
        <f aca="false">INDEX(Products!$D$2:$D$9,MATCH(E511,Products!$A$2:$A$9,0))</f>
        <v>189</v>
      </c>
      <c r="J511" s="7" t="n">
        <v>0.05</v>
      </c>
      <c r="K511" s="8" t="n">
        <f aca="false">H511*I511*(1-J511)</f>
        <v>897.75</v>
      </c>
      <c r="L511" s="6" t="n">
        <f aca="false">H511*INDEX(Products!$E$2:$E$9,MATCH(E511,Products!$A$2:$A$9,0))</f>
        <v>490</v>
      </c>
      <c r="M511" s="8" t="n">
        <f aca="false">K511-L511</f>
        <v>407.75</v>
      </c>
      <c r="N511" s="2" t="s">
        <v>28</v>
      </c>
      <c r="O511" s="2" t="s">
        <v>33</v>
      </c>
    </row>
    <row r="512" customFormat="false" ht="15" hidden="false" customHeight="false" outlineLevel="0" collapsed="false">
      <c r="A512" s="2" t="s">
        <v>566</v>
      </c>
      <c r="B512" s="3" t="n">
        <v>45876</v>
      </c>
      <c r="C512" s="2" t="s">
        <v>41</v>
      </c>
      <c r="D512" s="2" t="s">
        <v>42</v>
      </c>
      <c r="E512" s="2" t="s">
        <v>26</v>
      </c>
      <c r="F512" s="4" t="str">
        <f aca="false">INDEX(Products!$B$2:$B$9,MATCH(E512,Products!$A$2:$A$9,0))</f>
        <v>Analytics Basic</v>
      </c>
      <c r="G512" s="4" t="str">
        <f aca="false">INDEX(Products!$C$2:$C$9,MATCH(E512,Products!$A$2:$A$9,0))</f>
        <v>Software</v>
      </c>
      <c r="H512" s="5" t="n">
        <v>2</v>
      </c>
      <c r="I512" s="6" t="n">
        <f aca="false">INDEX(Products!$D$2:$D$9,MATCH(E512,Products!$A$2:$A$9,0))</f>
        <v>120</v>
      </c>
      <c r="J512" s="7" t="n">
        <v>0.25</v>
      </c>
      <c r="K512" s="8" t="n">
        <f aca="false">H512*I512*(1-J512)</f>
        <v>180</v>
      </c>
      <c r="L512" s="6" t="n">
        <f aca="false">H512*INDEX(Products!$E$2:$E$9,MATCH(E512,Products!$A$2:$A$9,0))</f>
        <v>36</v>
      </c>
      <c r="M512" s="8" t="n">
        <f aca="false">K512-L512</f>
        <v>144</v>
      </c>
      <c r="N512" s="2" t="s">
        <v>19</v>
      </c>
      <c r="O512" s="2" t="s">
        <v>43</v>
      </c>
    </row>
    <row r="513" customFormat="false" ht="15" hidden="false" customHeight="false" outlineLevel="0" collapsed="false">
      <c r="A513" s="2" t="s">
        <v>567</v>
      </c>
      <c r="B513" s="3" t="n">
        <v>45877</v>
      </c>
      <c r="C513" s="2" t="s">
        <v>16</v>
      </c>
      <c r="D513" s="2" t="s">
        <v>25</v>
      </c>
      <c r="E513" s="2" t="s">
        <v>61</v>
      </c>
      <c r="F513" s="4" t="str">
        <f aca="false">INDEX(Products!$B$2:$B$9,MATCH(E513,Products!$A$2:$A$9,0))</f>
        <v>Install Service</v>
      </c>
      <c r="G513" s="4" t="str">
        <f aca="false">INDEX(Products!$C$2:$C$9,MATCH(E513,Products!$A$2:$A$9,0))</f>
        <v>Services</v>
      </c>
      <c r="H513" s="5" t="n">
        <v>1</v>
      </c>
      <c r="I513" s="6" t="n">
        <f aca="false">INDEX(Products!$D$2:$D$9,MATCH(E513,Products!$A$2:$A$9,0))</f>
        <v>450</v>
      </c>
      <c r="J513" s="7" t="n">
        <v>0.05</v>
      </c>
      <c r="K513" s="8" t="n">
        <f aca="false">H513*I513*(1-J513)</f>
        <v>427.5</v>
      </c>
      <c r="L513" s="6" t="n">
        <f aca="false">H513*INDEX(Products!$E$2:$E$9,MATCH(E513,Products!$A$2:$A$9,0))</f>
        <v>310</v>
      </c>
      <c r="M513" s="8" t="n">
        <f aca="false">K513-L513</f>
        <v>117.5</v>
      </c>
      <c r="N513" s="2" t="s">
        <v>28</v>
      </c>
      <c r="O513" s="2" t="s">
        <v>20</v>
      </c>
    </row>
    <row r="514" customFormat="false" ht="15" hidden="false" customHeight="false" outlineLevel="0" collapsed="false">
      <c r="A514" s="2" t="s">
        <v>568</v>
      </c>
      <c r="B514" s="3" t="n">
        <v>45879</v>
      </c>
      <c r="C514" s="2" t="s">
        <v>41</v>
      </c>
      <c r="D514" s="2" t="s">
        <v>42</v>
      </c>
      <c r="E514" s="2" t="s">
        <v>68</v>
      </c>
      <c r="F514" s="4" t="str">
        <f aca="false">INDEX(Products!$B$2:$B$9,MATCH(E514,Products!$A$2:$A$9,0))</f>
        <v>Premium Support</v>
      </c>
      <c r="G514" s="4" t="str">
        <f aca="false">INDEX(Products!$C$2:$C$9,MATCH(E514,Products!$A$2:$A$9,0))</f>
        <v>Services</v>
      </c>
      <c r="H514" s="5" t="n">
        <v>1</v>
      </c>
      <c r="I514" s="6" t="n">
        <f aca="false">INDEX(Products!$D$2:$D$9,MATCH(E514,Products!$A$2:$A$9,0))</f>
        <v>600</v>
      </c>
      <c r="J514" s="7" t="n">
        <v>0.05</v>
      </c>
      <c r="K514" s="8" t="n">
        <f aca="false">H514*I514*(1-J514)</f>
        <v>570</v>
      </c>
      <c r="L514" s="6" t="n">
        <f aca="false">H514*INDEX(Products!$E$2:$E$9,MATCH(E514,Products!$A$2:$A$9,0))</f>
        <v>395</v>
      </c>
      <c r="M514" s="8" t="n">
        <f aca="false">K514-L514</f>
        <v>175</v>
      </c>
      <c r="N514" s="2" t="s">
        <v>28</v>
      </c>
      <c r="O514" s="2" t="s">
        <v>52</v>
      </c>
    </row>
    <row r="515" customFormat="false" ht="15" hidden="false" customHeight="false" outlineLevel="0" collapsed="false">
      <c r="A515" s="2" t="s">
        <v>569</v>
      </c>
      <c r="B515" s="3" t="n">
        <v>45880</v>
      </c>
      <c r="C515" s="2" t="s">
        <v>41</v>
      </c>
      <c r="D515" s="2" t="s">
        <v>42</v>
      </c>
      <c r="E515" s="2" t="s">
        <v>23</v>
      </c>
      <c r="F515" s="4" t="str">
        <f aca="false">INDEX(Products!$B$2:$B$9,MATCH(E515,Products!$A$2:$A$9,0))</f>
        <v>Sensor Hub S</v>
      </c>
      <c r="G515" s="4" t="str">
        <f aca="false">INDEX(Products!$C$2:$C$9,MATCH(E515,Products!$A$2:$A$9,0))</f>
        <v>Hardware</v>
      </c>
      <c r="H515" s="5" t="n">
        <v>20</v>
      </c>
      <c r="I515" s="6" t="n">
        <f aca="false">INDEX(Products!$D$2:$D$9,MATCH(E515,Products!$A$2:$A$9,0))</f>
        <v>189</v>
      </c>
      <c r="J515" s="7" t="n">
        <v>0.2</v>
      </c>
      <c r="K515" s="8" t="n">
        <f aca="false">H515*I515*(1-J515)</f>
        <v>3024</v>
      </c>
      <c r="L515" s="6" t="n">
        <f aca="false">H515*INDEX(Products!$E$2:$E$9,MATCH(E515,Products!$A$2:$A$9,0))</f>
        <v>1960</v>
      </c>
      <c r="M515" s="8" t="n">
        <f aca="false">K515-L515</f>
        <v>1064</v>
      </c>
      <c r="N515" s="2" t="s">
        <v>19</v>
      </c>
      <c r="O515" s="2" t="s">
        <v>52</v>
      </c>
    </row>
    <row r="516" customFormat="false" ht="15" hidden="false" customHeight="false" outlineLevel="0" collapsed="false">
      <c r="A516" s="2" t="s">
        <v>570</v>
      </c>
      <c r="B516" s="3" t="n">
        <v>45880</v>
      </c>
      <c r="C516" s="2" t="s">
        <v>47</v>
      </c>
      <c r="D516" s="2" t="s">
        <v>48</v>
      </c>
      <c r="E516" s="2" t="s">
        <v>32</v>
      </c>
      <c r="F516" s="4" t="str">
        <f aca="false">INDEX(Products!$B$2:$B$9,MATCH(E516,Products!$A$2:$A$9,0))</f>
        <v>Analytics Plus</v>
      </c>
      <c r="G516" s="4" t="str">
        <f aca="false">INDEX(Products!$C$2:$C$9,MATCH(E516,Products!$A$2:$A$9,0))</f>
        <v>Software</v>
      </c>
      <c r="H516" s="5" t="n">
        <v>3</v>
      </c>
      <c r="I516" s="6" t="n">
        <f aca="false">INDEX(Products!$D$2:$D$9,MATCH(E516,Products!$A$2:$A$9,0))</f>
        <v>290</v>
      </c>
      <c r="J516" s="7" t="n">
        <v>0.1</v>
      </c>
      <c r="K516" s="8" t="n">
        <f aca="false">H516*I516*(1-J516)</f>
        <v>783</v>
      </c>
      <c r="L516" s="6" t="n">
        <f aca="false">H516*INDEX(Products!$E$2:$E$9,MATCH(E516,Products!$A$2:$A$9,0))</f>
        <v>123</v>
      </c>
      <c r="M516" s="8" t="n">
        <f aca="false">K516-L516</f>
        <v>660</v>
      </c>
      <c r="N516" s="2" t="s">
        <v>28</v>
      </c>
      <c r="O516" s="2" t="s">
        <v>50</v>
      </c>
    </row>
    <row r="517" customFormat="false" ht="15" hidden="false" customHeight="false" outlineLevel="0" collapsed="false">
      <c r="A517" s="2" t="s">
        <v>571</v>
      </c>
      <c r="B517" s="3" t="n">
        <v>45881</v>
      </c>
      <c r="C517" s="2" t="s">
        <v>47</v>
      </c>
      <c r="D517" s="2" t="s">
        <v>55</v>
      </c>
      <c r="E517" s="2" t="s">
        <v>32</v>
      </c>
      <c r="F517" s="4" t="str">
        <f aca="false">INDEX(Products!$B$2:$B$9,MATCH(E517,Products!$A$2:$A$9,0))</f>
        <v>Analytics Plus</v>
      </c>
      <c r="G517" s="4" t="str">
        <f aca="false">INDEX(Products!$C$2:$C$9,MATCH(E517,Products!$A$2:$A$9,0))</f>
        <v>Software</v>
      </c>
      <c r="H517" s="5" t="n">
        <v>2</v>
      </c>
      <c r="I517" s="6" t="n">
        <f aca="false">INDEX(Products!$D$2:$D$9,MATCH(E517,Products!$A$2:$A$9,0))</f>
        <v>290</v>
      </c>
      <c r="J517" s="7" t="n">
        <v>0.15</v>
      </c>
      <c r="K517" s="8" t="n">
        <f aca="false">H517*I517*(1-J517)</f>
        <v>493</v>
      </c>
      <c r="L517" s="6" t="n">
        <f aca="false">H517*INDEX(Products!$E$2:$E$9,MATCH(E517,Products!$A$2:$A$9,0))</f>
        <v>82</v>
      </c>
      <c r="M517" s="8" t="n">
        <f aca="false">K517-L517</f>
        <v>411</v>
      </c>
      <c r="N517" s="2" t="s">
        <v>28</v>
      </c>
      <c r="O517" s="2" t="s">
        <v>72</v>
      </c>
    </row>
    <row r="518" customFormat="false" ht="15" hidden="false" customHeight="false" outlineLevel="0" collapsed="false">
      <c r="A518" s="2" t="s">
        <v>572</v>
      </c>
      <c r="B518" s="3" t="n">
        <v>45881</v>
      </c>
      <c r="C518" s="2" t="s">
        <v>41</v>
      </c>
      <c r="D518" s="2" t="s">
        <v>42</v>
      </c>
      <c r="E518" s="2" t="s">
        <v>23</v>
      </c>
      <c r="F518" s="4" t="str">
        <f aca="false">INDEX(Products!$B$2:$B$9,MATCH(E518,Products!$A$2:$A$9,0))</f>
        <v>Sensor Hub S</v>
      </c>
      <c r="G518" s="4" t="str">
        <f aca="false">INDEX(Products!$C$2:$C$9,MATCH(E518,Products!$A$2:$A$9,0))</f>
        <v>Hardware</v>
      </c>
      <c r="H518" s="5" t="n">
        <v>8</v>
      </c>
      <c r="I518" s="6" t="n">
        <f aca="false">INDEX(Products!$D$2:$D$9,MATCH(E518,Products!$A$2:$A$9,0))</f>
        <v>189</v>
      </c>
      <c r="J518" s="7" t="n">
        <v>0.15</v>
      </c>
      <c r="K518" s="8" t="n">
        <f aca="false">H518*I518*(1-J518)</f>
        <v>1285.2</v>
      </c>
      <c r="L518" s="6" t="n">
        <f aca="false">H518*INDEX(Products!$E$2:$E$9,MATCH(E518,Products!$A$2:$A$9,0))</f>
        <v>784</v>
      </c>
      <c r="M518" s="8" t="n">
        <f aca="false">K518-L518</f>
        <v>501.2</v>
      </c>
      <c r="N518" s="2" t="s">
        <v>38</v>
      </c>
      <c r="O518" s="2" t="s">
        <v>43</v>
      </c>
    </row>
    <row r="519" customFormat="false" ht="15" hidden="false" customHeight="false" outlineLevel="0" collapsed="false">
      <c r="A519" s="2" t="s">
        <v>573</v>
      </c>
      <c r="B519" s="3" t="n">
        <v>45882</v>
      </c>
      <c r="C519" s="2" t="s">
        <v>47</v>
      </c>
      <c r="D519" s="2" t="s">
        <v>71</v>
      </c>
      <c r="E519" s="2" t="s">
        <v>18</v>
      </c>
      <c r="F519" s="4" t="str">
        <f aca="false">INDEX(Products!$B$2:$B$9,MATCH(E519,Products!$A$2:$A$9,0))</f>
        <v>Sensor Hub Pro</v>
      </c>
      <c r="G519" s="4" t="str">
        <f aca="false">INDEX(Products!$C$2:$C$9,MATCH(E519,Products!$A$2:$A$9,0))</f>
        <v>Hardware</v>
      </c>
      <c r="H519" s="5" t="n">
        <v>10</v>
      </c>
      <c r="I519" s="6" t="n">
        <f aca="false">INDEX(Products!$D$2:$D$9,MATCH(E519,Products!$A$2:$A$9,0))</f>
        <v>349</v>
      </c>
      <c r="J519" s="7" t="n">
        <v>0.1</v>
      </c>
      <c r="K519" s="8" t="n">
        <f aca="false">H519*I519*(1-J519)</f>
        <v>3141</v>
      </c>
      <c r="L519" s="6" t="n">
        <f aca="false">H519*INDEX(Products!$E$2:$E$9,MATCH(E519,Products!$A$2:$A$9,0))</f>
        <v>2010</v>
      </c>
      <c r="M519" s="8" t="n">
        <f aca="false">K519-L519</f>
        <v>1131</v>
      </c>
      <c r="N519" s="2" t="s">
        <v>28</v>
      </c>
      <c r="O519" s="2" t="s">
        <v>50</v>
      </c>
    </row>
    <row r="520" customFormat="false" ht="15" hidden="false" customHeight="false" outlineLevel="0" collapsed="false">
      <c r="A520" s="2" t="s">
        <v>574</v>
      </c>
      <c r="B520" s="3" t="n">
        <v>45882</v>
      </c>
      <c r="C520" s="2" t="s">
        <v>30</v>
      </c>
      <c r="D520" s="2" t="s">
        <v>31</v>
      </c>
      <c r="E520" s="2" t="s">
        <v>23</v>
      </c>
      <c r="F520" s="4" t="str">
        <f aca="false">INDEX(Products!$B$2:$B$9,MATCH(E520,Products!$A$2:$A$9,0))</f>
        <v>Sensor Hub S</v>
      </c>
      <c r="G520" s="4" t="str">
        <f aca="false">INDEX(Products!$C$2:$C$9,MATCH(E520,Products!$A$2:$A$9,0))</f>
        <v>Hardware</v>
      </c>
      <c r="H520" s="5" t="n">
        <v>8</v>
      </c>
      <c r="I520" s="6" t="n">
        <f aca="false">INDEX(Products!$D$2:$D$9,MATCH(E520,Products!$A$2:$A$9,0))</f>
        <v>189</v>
      </c>
      <c r="J520" s="7" t="n">
        <v>0.15</v>
      </c>
      <c r="K520" s="8" t="n">
        <f aca="false">H520*I520*(1-J520)</f>
        <v>1285.2</v>
      </c>
      <c r="L520" s="6" t="n">
        <f aca="false">H520*INDEX(Products!$E$2:$E$9,MATCH(E520,Products!$A$2:$A$9,0))</f>
        <v>784</v>
      </c>
      <c r="M520" s="8" t="n">
        <f aca="false">K520-L520</f>
        <v>501.2</v>
      </c>
      <c r="N520" s="2" t="s">
        <v>19</v>
      </c>
      <c r="O520" s="2" t="s">
        <v>33</v>
      </c>
    </row>
    <row r="521" customFormat="false" ht="15" hidden="false" customHeight="false" outlineLevel="0" collapsed="false">
      <c r="A521" s="2" t="s">
        <v>575</v>
      </c>
      <c r="B521" s="3" t="n">
        <v>45883</v>
      </c>
      <c r="C521" s="2" t="s">
        <v>47</v>
      </c>
      <c r="D521" s="2" t="s">
        <v>55</v>
      </c>
      <c r="E521" s="2" t="s">
        <v>23</v>
      </c>
      <c r="F521" s="4" t="str">
        <f aca="false">INDEX(Products!$B$2:$B$9,MATCH(E521,Products!$A$2:$A$9,0))</f>
        <v>Sensor Hub S</v>
      </c>
      <c r="G521" s="4" t="str">
        <f aca="false">INDEX(Products!$C$2:$C$9,MATCH(E521,Products!$A$2:$A$9,0))</f>
        <v>Hardware</v>
      </c>
      <c r="H521" s="5" t="n">
        <v>8</v>
      </c>
      <c r="I521" s="6" t="n">
        <f aca="false">INDEX(Products!$D$2:$D$9,MATCH(E521,Products!$A$2:$A$9,0))</f>
        <v>189</v>
      </c>
      <c r="J521" s="7" t="n">
        <v>0.1</v>
      </c>
      <c r="K521" s="8" t="n">
        <f aca="false">H521*I521*(1-J521)</f>
        <v>1360.8</v>
      </c>
      <c r="L521" s="6" t="n">
        <f aca="false">H521*INDEX(Products!$E$2:$E$9,MATCH(E521,Products!$A$2:$A$9,0))</f>
        <v>784</v>
      </c>
      <c r="M521" s="8" t="n">
        <f aca="false">K521-L521</f>
        <v>576.8</v>
      </c>
      <c r="N521" s="2" t="s">
        <v>19</v>
      </c>
      <c r="O521" s="2" t="s">
        <v>50</v>
      </c>
    </row>
    <row r="522" customFormat="false" ht="15" hidden="false" customHeight="false" outlineLevel="0" collapsed="false">
      <c r="A522" s="2" t="s">
        <v>576</v>
      </c>
      <c r="B522" s="3" t="n">
        <v>45884</v>
      </c>
      <c r="C522" s="2" t="s">
        <v>16</v>
      </c>
      <c r="D522" s="2" t="s">
        <v>35</v>
      </c>
      <c r="E522" s="2" t="s">
        <v>23</v>
      </c>
      <c r="F522" s="4" t="str">
        <f aca="false">INDEX(Products!$B$2:$B$9,MATCH(E522,Products!$A$2:$A$9,0))</f>
        <v>Sensor Hub S</v>
      </c>
      <c r="G522" s="4" t="str">
        <f aca="false">INDEX(Products!$C$2:$C$9,MATCH(E522,Products!$A$2:$A$9,0))</f>
        <v>Hardware</v>
      </c>
      <c r="H522" s="5" t="n">
        <v>12</v>
      </c>
      <c r="I522" s="6" t="n">
        <f aca="false">INDEX(Products!$D$2:$D$9,MATCH(E522,Products!$A$2:$A$9,0))</f>
        <v>189</v>
      </c>
      <c r="J522" s="7" t="n">
        <v>0.1</v>
      </c>
      <c r="K522" s="8" t="n">
        <f aca="false">H522*I522*(1-J522)</f>
        <v>2041.2</v>
      </c>
      <c r="L522" s="6" t="n">
        <f aca="false">H522*INDEX(Products!$E$2:$E$9,MATCH(E522,Products!$A$2:$A$9,0))</f>
        <v>1176</v>
      </c>
      <c r="M522" s="8" t="n">
        <f aca="false">K522-L522</f>
        <v>865.2</v>
      </c>
      <c r="N522" s="2" t="s">
        <v>38</v>
      </c>
      <c r="O522" s="2" t="s">
        <v>36</v>
      </c>
    </row>
    <row r="523" customFormat="false" ht="15" hidden="false" customHeight="false" outlineLevel="0" collapsed="false">
      <c r="A523" s="2" t="s">
        <v>577</v>
      </c>
      <c r="B523" s="3" t="n">
        <v>45887</v>
      </c>
      <c r="C523" s="2" t="s">
        <v>30</v>
      </c>
      <c r="D523" s="2" t="s">
        <v>128</v>
      </c>
      <c r="E523" s="2" t="s">
        <v>68</v>
      </c>
      <c r="F523" s="4" t="str">
        <f aca="false">INDEX(Products!$B$2:$B$9,MATCH(E523,Products!$A$2:$A$9,0))</f>
        <v>Premium Support</v>
      </c>
      <c r="G523" s="4" t="str">
        <f aca="false">INDEX(Products!$C$2:$C$9,MATCH(E523,Products!$A$2:$A$9,0))</f>
        <v>Services</v>
      </c>
      <c r="H523" s="5" t="n">
        <v>1</v>
      </c>
      <c r="I523" s="6" t="n">
        <f aca="false">INDEX(Products!$D$2:$D$9,MATCH(E523,Products!$A$2:$A$9,0))</f>
        <v>600</v>
      </c>
      <c r="J523" s="7" t="n">
        <v>0.15</v>
      </c>
      <c r="K523" s="8" t="n">
        <f aca="false">H523*I523*(1-J523)</f>
        <v>510</v>
      </c>
      <c r="L523" s="6" t="n">
        <f aca="false">H523*INDEX(Products!$E$2:$E$9,MATCH(E523,Products!$A$2:$A$9,0))</f>
        <v>395</v>
      </c>
      <c r="M523" s="8" t="n">
        <f aca="false">K523-L523</f>
        <v>115</v>
      </c>
      <c r="N523" s="2" t="s">
        <v>19</v>
      </c>
      <c r="O523" s="2" t="s">
        <v>33</v>
      </c>
    </row>
    <row r="524" customFormat="false" ht="15" hidden="false" customHeight="false" outlineLevel="0" collapsed="false">
      <c r="A524" s="2" t="s">
        <v>578</v>
      </c>
      <c r="B524" s="3" t="n">
        <v>45887</v>
      </c>
      <c r="C524" s="2" t="s">
        <v>41</v>
      </c>
      <c r="D524" s="2" t="s">
        <v>42</v>
      </c>
      <c r="E524" s="2" t="s">
        <v>57</v>
      </c>
      <c r="F524" s="4" t="str">
        <f aca="false">INDEX(Products!$B$2:$B$9,MATCH(E524,Products!$A$2:$A$9,0))</f>
        <v>Edge Gateway</v>
      </c>
      <c r="G524" s="4" t="str">
        <f aca="false">INDEX(Products!$C$2:$C$9,MATCH(E524,Products!$A$2:$A$9,0))</f>
        <v>Hardware</v>
      </c>
      <c r="H524" s="5" t="n">
        <v>8</v>
      </c>
      <c r="I524" s="6" t="n">
        <f aca="false">INDEX(Products!$D$2:$D$9,MATCH(E524,Products!$A$2:$A$9,0))</f>
        <v>899</v>
      </c>
      <c r="J524" s="7" t="n">
        <v>0.15</v>
      </c>
      <c r="K524" s="8" t="n">
        <f aca="false">H524*I524*(1-J524)</f>
        <v>6113.2</v>
      </c>
      <c r="L524" s="6" t="n">
        <f aca="false">H524*INDEX(Products!$E$2:$E$9,MATCH(E524,Products!$A$2:$A$9,0))</f>
        <v>4896</v>
      </c>
      <c r="M524" s="8" t="n">
        <f aca="false">K524-L524</f>
        <v>1217.2</v>
      </c>
      <c r="N524" s="2" t="s">
        <v>28</v>
      </c>
      <c r="O524" s="2" t="s">
        <v>43</v>
      </c>
    </row>
    <row r="525" customFormat="false" ht="15" hidden="false" customHeight="false" outlineLevel="0" collapsed="false">
      <c r="A525" s="2" t="s">
        <v>579</v>
      </c>
      <c r="B525" s="3" t="n">
        <v>45888</v>
      </c>
      <c r="C525" s="2" t="s">
        <v>59</v>
      </c>
      <c r="D525" s="2" t="s">
        <v>101</v>
      </c>
      <c r="E525" s="2" t="s">
        <v>18</v>
      </c>
      <c r="F525" s="4" t="str">
        <f aca="false">INDEX(Products!$B$2:$B$9,MATCH(E525,Products!$A$2:$A$9,0))</f>
        <v>Sensor Hub Pro</v>
      </c>
      <c r="G525" s="4" t="str">
        <f aca="false">INDEX(Products!$C$2:$C$9,MATCH(E525,Products!$A$2:$A$9,0))</f>
        <v>Hardware</v>
      </c>
      <c r="H525" s="5" t="n">
        <v>10</v>
      </c>
      <c r="I525" s="6" t="n">
        <f aca="false">INDEX(Products!$D$2:$D$9,MATCH(E525,Products!$A$2:$A$9,0))</f>
        <v>349</v>
      </c>
      <c r="J525" s="7" t="n">
        <v>0</v>
      </c>
      <c r="K525" s="8" t="n">
        <f aca="false">H525*I525*(1-J525)</f>
        <v>3490</v>
      </c>
      <c r="L525" s="6" t="n">
        <f aca="false">H525*INDEX(Products!$E$2:$E$9,MATCH(E525,Products!$A$2:$A$9,0))</f>
        <v>2010</v>
      </c>
      <c r="M525" s="8" t="n">
        <f aca="false">K525-L525</f>
        <v>1480</v>
      </c>
      <c r="N525" s="2" t="s">
        <v>28</v>
      </c>
      <c r="O525" s="2" t="s">
        <v>62</v>
      </c>
    </row>
    <row r="526" customFormat="false" ht="15" hidden="false" customHeight="false" outlineLevel="0" collapsed="false">
      <c r="A526" s="2" t="s">
        <v>580</v>
      </c>
      <c r="B526" s="3" t="n">
        <v>45889</v>
      </c>
      <c r="C526" s="2" t="s">
        <v>47</v>
      </c>
      <c r="D526" s="2" t="s">
        <v>157</v>
      </c>
      <c r="E526" s="2" t="s">
        <v>68</v>
      </c>
      <c r="F526" s="4" t="str">
        <f aca="false">INDEX(Products!$B$2:$B$9,MATCH(E526,Products!$A$2:$A$9,0))</f>
        <v>Premium Support</v>
      </c>
      <c r="G526" s="4" t="str">
        <f aca="false">INDEX(Products!$C$2:$C$9,MATCH(E526,Products!$A$2:$A$9,0))</f>
        <v>Services</v>
      </c>
      <c r="H526" s="5" t="n">
        <v>5</v>
      </c>
      <c r="I526" s="6" t="n">
        <f aca="false">INDEX(Products!$D$2:$D$9,MATCH(E526,Products!$A$2:$A$9,0))</f>
        <v>600</v>
      </c>
      <c r="J526" s="7" t="n">
        <v>0.1</v>
      </c>
      <c r="K526" s="8" t="n">
        <f aca="false">H526*I526*(1-J526)</f>
        <v>2700</v>
      </c>
      <c r="L526" s="6" t="n">
        <f aca="false">H526*INDEX(Products!$E$2:$E$9,MATCH(E526,Products!$A$2:$A$9,0))</f>
        <v>1975</v>
      </c>
      <c r="M526" s="8" t="n">
        <f aca="false">K526-L526</f>
        <v>725</v>
      </c>
      <c r="N526" s="2" t="s">
        <v>19</v>
      </c>
      <c r="O526" s="2" t="s">
        <v>72</v>
      </c>
    </row>
    <row r="527" customFormat="false" ht="15" hidden="false" customHeight="false" outlineLevel="0" collapsed="false">
      <c r="A527" s="2" t="s">
        <v>581</v>
      </c>
      <c r="B527" s="3" t="n">
        <v>45889</v>
      </c>
      <c r="C527" s="2" t="s">
        <v>16</v>
      </c>
      <c r="D527" s="2" t="s">
        <v>22</v>
      </c>
      <c r="E527" s="2" t="s">
        <v>49</v>
      </c>
      <c r="F527" s="4" t="str">
        <f aca="false">INDEX(Products!$B$2:$B$9,MATCH(E527,Products!$A$2:$A$9,0))</f>
        <v>Mounting Kit</v>
      </c>
      <c r="G527" s="4" t="str">
        <f aca="false">INDEX(Products!$C$2:$C$9,MATCH(E527,Products!$A$2:$A$9,0))</f>
        <v>Accessories</v>
      </c>
      <c r="H527" s="5" t="n">
        <v>5</v>
      </c>
      <c r="I527" s="6" t="n">
        <f aca="false">INDEX(Products!$D$2:$D$9,MATCH(E527,Products!$A$2:$A$9,0))</f>
        <v>39</v>
      </c>
      <c r="J527" s="7" t="n">
        <v>0.15</v>
      </c>
      <c r="K527" s="8" t="n">
        <f aca="false">H527*I527*(1-J527)</f>
        <v>165.75</v>
      </c>
      <c r="L527" s="6" t="n">
        <f aca="false">H527*INDEX(Products!$E$2:$E$9,MATCH(E527,Products!$A$2:$A$9,0))</f>
        <v>157.5</v>
      </c>
      <c r="M527" s="8" t="n">
        <f aca="false">K527-L527</f>
        <v>8.25</v>
      </c>
      <c r="N527" s="2" t="s">
        <v>28</v>
      </c>
      <c r="O527" s="2" t="s">
        <v>20</v>
      </c>
    </row>
    <row r="528" customFormat="false" ht="15" hidden="false" customHeight="false" outlineLevel="0" collapsed="false">
      <c r="A528" s="2" t="s">
        <v>582</v>
      </c>
      <c r="B528" s="3" t="n">
        <v>45889</v>
      </c>
      <c r="C528" s="2" t="s">
        <v>16</v>
      </c>
      <c r="D528" s="2" t="s">
        <v>17</v>
      </c>
      <c r="E528" s="2" t="s">
        <v>26</v>
      </c>
      <c r="F528" s="4" t="str">
        <f aca="false">INDEX(Products!$B$2:$B$9,MATCH(E528,Products!$A$2:$A$9,0))</f>
        <v>Analytics Basic</v>
      </c>
      <c r="G528" s="4" t="str">
        <f aca="false">INDEX(Products!$C$2:$C$9,MATCH(E528,Products!$A$2:$A$9,0))</f>
        <v>Software</v>
      </c>
      <c r="H528" s="5" t="n">
        <v>5</v>
      </c>
      <c r="I528" s="6" t="n">
        <f aca="false">INDEX(Products!$D$2:$D$9,MATCH(E528,Products!$A$2:$A$9,0))</f>
        <v>120</v>
      </c>
      <c r="J528" s="7" t="n">
        <v>0.15</v>
      </c>
      <c r="K528" s="8" t="n">
        <f aca="false">H528*I528*(1-J528)</f>
        <v>510</v>
      </c>
      <c r="L528" s="6" t="n">
        <f aca="false">H528*INDEX(Products!$E$2:$E$9,MATCH(E528,Products!$A$2:$A$9,0))</f>
        <v>90</v>
      </c>
      <c r="M528" s="8" t="n">
        <f aca="false">K528-L528</f>
        <v>420</v>
      </c>
      <c r="N528" s="2" t="s">
        <v>19</v>
      </c>
      <c r="O528" s="2" t="s">
        <v>20</v>
      </c>
    </row>
    <row r="529" customFormat="false" ht="15" hidden="false" customHeight="false" outlineLevel="0" collapsed="false">
      <c r="A529" s="2" t="s">
        <v>583</v>
      </c>
      <c r="B529" s="3" t="n">
        <v>45889</v>
      </c>
      <c r="C529" s="2" t="s">
        <v>47</v>
      </c>
      <c r="D529" s="2" t="s">
        <v>55</v>
      </c>
      <c r="E529" s="2" t="s">
        <v>26</v>
      </c>
      <c r="F529" s="4" t="str">
        <f aca="false">INDEX(Products!$B$2:$B$9,MATCH(E529,Products!$A$2:$A$9,0))</f>
        <v>Analytics Basic</v>
      </c>
      <c r="G529" s="4" t="str">
        <f aca="false">INDEX(Products!$C$2:$C$9,MATCH(E529,Products!$A$2:$A$9,0))</f>
        <v>Software</v>
      </c>
      <c r="H529" s="5" t="n">
        <v>3</v>
      </c>
      <c r="I529" s="6" t="n">
        <f aca="false">INDEX(Products!$D$2:$D$9,MATCH(E529,Products!$A$2:$A$9,0))</f>
        <v>120</v>
      </c>
      <c r="J529" s="7" t="n">
        <v>0.05</v>
      </c>
      <c r="K529" s="8" t="n">
        <f aca="false">H529*I529*(1-J529)</f>
        <v>342</v>
      </c>
      <c r="L529" s="6" t="n">
        <f aca="false">H529*INDEX(Products!$E$2:$E$9,MATCH(E529,Products!$A$2:$A$9,0))</f>
        <v>54</v>
      </c>
      <c r="M529" s="8" t="n">
        <f aca="false">K529-L529</f>
        <v>288</v>
      </c>
      <c r="N529" s="2" t="s">
        <v>28</v>
      </c>
      <c r="O529" s="2" t="s">
        <v>72</v>
      </c>
    </row>
    <row r="530" customFormat="false" ht="15" hidden="false" customHeight="false" outlineLevel="0" collapsed="false">
      <c r="A530" s="2" t="s">
        <v>584</v>
      </c>
      <c r="B530" s="3" t="n">
        <v>45890</v>
      </c>
      <c r="C530" s="2" t="s">
        <v>41</v>
      </c>
      <c r="D530" s="2" t="s">
        <v>42</v>
      </c>
      <c r="E530" s="2" t="s">
        <v>49</v>
      </c>
      <c r="F530" s="4" t="str">
        <f aca="false">INDEX(Products!$B$2:$B$9,MATCH(E530,Products!$A$2:$A$9,0))</f>
        <v>Mounting Kit</v>
      </c>
      <c r="G530" s="4" t="str">
        <f aca="false">INDEX(Products!$C$2:$C$9,MATCH(E530,Products!$A$2:$A$9,0))</f>
        <v>Accessories</v>
      </c>
      <c r="H530" s="5" t="n">
        <v>2</v>
      </c>
      <c r="I530" s="6" t="n">
        <f aca="false">INDEX(Products!$D$2:$D$9,MATCH(E530,Products!$A$2:$A$9,0))</f>
        <v>39</v>
      </c>
      <c r="J530" s="7" t="n">
        <v>0.1</v>
      </c>
      <c r="K530" s="8" t="n">
        <f aca="false">H530*I530*(1-J530)</f>
        <v>70.2</v>
      </c>
      <c r="L530" s="6" t="n">
        <f aca="false">H530*INDEX(Products!$E$2:$E$9,MATCH(E530,Products!$A$2:$A$9,0))</f>
        <v>63</v>
      </c>
      <c r="M530" s="8" t="n">
        <f aca="false">K530-L530</f>
        <v>7.2</v>
      </c>
      <c r="N530" s="2" t="s">
        <v>19</v>
      </c>
      <c r="O530" s="2" t="s">
        <v>43</v>
      </c>
    </row>
    <row r="531" customFormat="false" ht="15" hidden="false" customHeight="false" outlineLevel="0" collapsed="false">
      <c r="A531" s="2" t="s">
        <v>585</v>
      </c>
      <c r="B531" s="3" t="n">
        <v>45891</v>
      </c>
      <c r="C531" s="2" t="s">
        <v>47</v>
      </c>
      <c r="D531" s="2" t="s">
        <v>71</v>
      </c>
      <c r="E531" s="2" t="s">
        <v>32</v>
      </c>
      <c r="F531" s="4" t="str">
        <f aca="false">INDEX(Products!$B$2:$B$9,MATCH(E531,Products!$A$2:$A$9,0))</f>
        <v>Analytics Plus</v>
      </c>
      <c r="G531" s="4" t="str">
        <f aca="false">INDEX(Products!$C$2:$C$9,MATCH(E531,Products!$A$2:$A$9,0))</f>
        <v>Software</v>
      </c>
      <c r="H531" s="5" t="n">
        <v>1</v>
      </c>
      <c r="I531" s="6" t="n">
        <f aca="false">INDEX(Products!$D$2:$D$9,MATCH(E531,Products!$A$2:$A$9,0))</f>
        <v>290</v>
      </c>
      <c r="J531" s="7" t="n">
        <v>0.15</v>
      </c>
      <c r="K531" s="8" t="n">
        <f aca="false">H531*I531*(1-J531)</f>
        <v>246.5</v>
      </c>
      <c r="L531" s="6" t="n">
        <f aca="false">H531*INDEX(Products!$E$2:$E$9,MATCH(E531,Products!$A$2:$A$9,0))</f>
        <v>41</v>
      </c>
      <c r="M531" s="8" t="n">
        <f aca="false">K531-L531</f>
        <v>205.5</v>
      </c>
      <c r="N531" s="2" t="s">
        <v>19</v>
      </c>
      <c r="O531" s="2" t="s">
        <v>72</v>
      </c>
    </row>
    <row r="532" customFormat="false" ht="15" hidden="false" customHeight="false" outlineLevel="0" collapsed="false">
      <c r="A532" s="2" t="s">
        <v>586</v>
      </c>
      <c r="B532" s="3" t="n">
        <v>45891</v>
      </c>
      <c r="C532" s="2" t="s">
        <v>16</v>
      </c>
      <c r="D532" s="2" t="s">
        <v>22</v>
      </c>
      <c r="E532" s="2" t="s">
        <v>49</v>
      </c>
      <c r="F532" s="4" t="str">
        <f aca="false">INDEX(Products!$B$2:$B$9,MATCH(E532,Products!$A$2:$A$9,0))</f>
        <v>Mounting Kit</v>
      </c>
      <c r="G532" s="4" t="str">
        <f aca="false">INDEX(Products!$C$2:$C$9,MATCH(E532,Products!$A$2:$A$9,0))</f>
        <v>Accessories</v>
      </c>
      <c r="H532" s="5" t="n">
        <v>3</v>
      </c>
      <c r="I532" s="6" t="n">
        <f aca="false">INDEX(Products!$D$2:$D$9,MATCH(E532,Products!$A$2:$A$9,0))</f>
        <v>39</v>
      </c>
      <c r="J532" s="7" t="n">
        <v>0</v>
      </c>
      <c r="K532" s="8" t="n">
        <f aca="false">H532*I532*(1-J532)</f>
        <v>117</v>
      </c>
      <c r="L532" s="6" t="n">
        <f aca="false">H532*INDEX(Products!$E$2:$E$9,MATCH(E532,Products!$A$2:$A$9,0))</f>
        <v>94.5</v>
      </c>
      <c r="M532" s="8" t="n">
        <f aca="false">K532-L532</f>
        <v>22.5</v>
      </c>
      <c r="N532" s="2" t="s">
        <v>28</v>
      </c>
      <c r="O532" s="2" t="s">
        <v>20</v>
      </c>
    </row>
    <row r="533" customFormat="false" ht="15" hidden="false" customHeight="false" outlineLevel="0" collapsed="false">
      <c r="A533" s="2" t="s">
        <v>587</v>
      </c>
      <c r="B533" s="3" t="n">
        <v>45894</v>
      </c>
      <c r="C533" s="2" t="s">
        <v>41</v>
      </c>
      <c r="D533" s="2" t="s">
        <v>66</v>
      </c>
      <c r="E533" s="2" t="s">
        <v>26</v>
      </c>
      <c r="F533" s="4" t="str">
        <f aca="false">INDEX(Products!$B$2:$B$9,MATCH(E533,Products!$A$2:$A$9,0))</f>
        <v>Analytics Basic</v>
      </c>
      <c r="G533" s="4" t="str">
        <f aca="false">INDEX(Products!$C$2:$C$9,MATCH(E533,Products!$A$2:$A$9,0))</f>
        <v>Software</v>
      </c>
      <c r="H533" s="5" t="n">
        <v>1</v>
      </c>
      <c r="I533" s="6" t="n">
        <f aca="false">INDEX(Products!$D$2:$D$9,MATCH(E533,Products!$A$2:$A$9,0))</f>
        <v>120</v>
      </c>
      <c r="J533" s="7" t="n">
        <v>0.05</v>
      </c>
      <c r="K533" s="8" t="n">
        <f aca="false">H533*I533*(1-J533)</f>
        <v>114</v>
      </c>
      <c r="L533" s="6" t="n">
        <f aca="false">H533*INDEX(Products!$E$2:$E$9,MATCH(E533,Products!$A$2:$A$9,0))</f>
        <v>18</v>
      </c>
      <c r="M533" s="8" t="n">
        <f aca="false">K533-L533</f>
        <v>96</v>
      </c>
      <c r="N533" s="2" t="s">
        <v>28</v>
      </c>
      <c r="O533" s="2" t="s">
        <v>52</v>
      </c>
    </row>
    <row r="534" customFormat="false" ht="15" hidden="false" customHeight="false" outlineLevel="0" collapsed="false">
      <c r="A534" s="2" t="s">
        <v>588</v>
      </c>
      <c r="B534" s="3" t="n">
        <v>45895</v>
      </c>
      <c r="C534" s="2" t="s">
        <v>59</v>
      </c>
      <c r="D534" s="2" t="s">
        <v>60</v>
      </c>
      <c r="E534" s="2" t="s">
        <v>23</v>
      </c>
      <c r="F534" s="4" t="str">
        <f aca="false">INDEX(Products!$B$2:$B$9,MATCH(E534,Products!$A$2:$A$9,0))</f>
        <v>Sensor Hub S</v>
      </c>
      <c r="G534" s="4" t="str">
        <f aca="false">INDEX(Products!$C$2:$C$9,MATCH(E534,Products!$A$2:$A$9,0))</f>
        <v>Hardware</v>
      </c>
      <c r="H534" s="5" t="n">
        <v>20</v>
      </c>
      <c r="I534" s="6" t="n">
        <f aca="false">INDEX(Products!$D$2:$D$9,MATCH(E534,Products!$A$2:$A$9,0))</f>
        <v>189</v>
      </c>
      <c r="J534" s="7" t="n">
        <v>0</v>
      </c>
      <c r="K534" s="8" t="n">
        <f aca="false">H534*I534*(1-J534)</f>
        <v>3780</v>
      </c>
      <c r="L534" s="6" t="n">
        <f aca="false">H534*INDEX(Products!$E$2:$E$9,MATCH(E534,Products!$A$2:$A$9,0))</f>
        <v>1960</v>
      </c>
      <c r="M534" s="8" t="n">
        <f aca="false">K534-L534</f>
        <v>1820</v>
      </c>
      <c r="N534" s="2" t="s">
        <v>38</v>
      </c>
      <c r="O534" s="2" t="s">
        <v>62</v>
      </c>
    </row>
    <row r="535" customFormat="false" ht="15" hidden="false" customHeight="false" outlineLevel="0" collapsed="false">
      <c r="A535" s="2" t="s">
        <v>589</v>
      </c>
      <c r="B535" s="3" t="n">
        <v>45895</v>
      </c>
      <c r="C535" s="2" t="s">
        <v>41</v>
      </c>
      <c r="D535" s="2" t="s">
        <v>66</v>
      </c>
      <c r="E535" s="2" t="s">
        <v>61</v>
      </c>
      <c r="F535" s="4" t="str">
        <f aca="false">INDEX(Products!$B$2:$B$9,MATCH(E535,Products!$A$2:$A$9,0))</f>
        <v>Install Service</v>
      </c>
      <c r="G535" s="4" t="str">
        <f aca="false">INDEX(Products!$C$2:$C$9,MATCH(E535,Products!$A$2:$A$9,0))</f>
        <v>Services</v>
      </c>
      <c r="H535" s="5" t="n">
        <v>3</v>
      </c>
      <c r="I535" s="6" t="n">
        <f aca="false">INDEX(Products!$D$2:$D$9,MATCH(E535,Products!$A$2:$A$9,0))</f>
        <v>450</v>
      </c>
      <c r="J535" s="7" t="n">
        <v>0.05</v>
      </c>
      <c r="K535" s="8" t="n">
        <f aca="false">H535*I535*(1-J535)</f>
        <v>1282.5</v>
      </c>
      <c r="L535" s="6" t="n">
        <f aca="false">H535*INDEX(Products!$E$2:$E$9,MATCH(E535,Products!$A$2:$A$9,0))</f>
        <v>930</v>
      </c>
      <c r="M535" s="8" t="n">
        <f aca="false">K535-L535</f>
        <v>352.5</v>
      </c>
      <c r="N535" s="2" t="s">
        <v>28</v>
      </c>
      <c r="O535" s="2" t="s">
        <v>52</v>
      </c>
    </row>
    <row r="536" customFormat="false" ht="15" hidden="false" customHeight="false" outlineLevel="0" collapsed="false">
      <c r="A536" s="2" t="s">
        <v>590</v>
      </c>
      <c r="B536" s="3" t="n">
        <v>45896</v>
      </c>
      <c r="C536" s="2" t="s">
        <v>16</v>
      </c>
      <c r="D536" s="2" t="s">
        <v>17</v>
      </c>
      <c r="E536" s="2" t="s">
        <v>23</v>
      </c>
      <c r="F536" s="4" t="str">
        <f aca="false">INDEX(Products!$B$2:$B$9,MATCH(E536,Products!$A$2:$A$9,0))</f>
        <v>Sensor Hub S</v>
      </c>
      <c r="G536" s="4" t="str">
        <f aca="false">INDEX(Products!$C$2:$C$9,MATCH(E536,Products!$A$2:$A$9,0))</f>
        <v>Hardware</v>
      </c>
      <c r="H536" s="5" t="n">
        <v>5</v>
      </c>
      <c r="I536" s="6" t="n">
        <f aca="false">INDEX(Products!$D$2:$D$9,MATCH(E536,Products!$A$2:$A$9,0))</f>
        <v>189</v>
      </c>
      <c r="J536" s="7" t="n">
        <v>0.1</v>
      </c>
      <c r="K536" s="8" t="n">
        <f aca="false">H536*I536*(1-J536)</f>
        <v>850.5</v>
      </c>
      <c r="L536" s="6" t="n">
        <f aca="false">H536*INDEX(Products!$E$2:$E$9,MATCH(E536,Products!$A$2:$A$9,0))</f>
        <v>490</v>
      </c>
      <c r="M536" s="8" t="n">
        <f aca="false">K536-L536</f>
        <v>360.5</v>
      </c>
      <c r="N536" s="2" t="s">
        <v>28</v>
      </c>
      <c r="O536" s="2" t="s">
        <v>36</v>
      </c>
    </row>
    <row r="537" customFormat="false" ht="15" hidden="false" customHeight="false" outlineLevel="0" collapsed="false">
      <c r="A537" s="2" t="s">
        <v>591</v>
      </c>
      <c r="B537" s="3" t="n">
        <v>45896</v>
      </c>
      <c r="C537" s="2" t="s">
        <v>16</v>
      </c>
      <c r="D537" s="2" t="s">
        <v>17</v>
      </c>
      <c r="E537" s="2" t="s">
        <v>61</v>
      </c>
      <c r="F537" s="4" t="str">
        <f aca="false">INDEX(Products!$B$2:$B$9,MATCH(E537,Products!$A$2:$A$9,0))</f>
        <v>Install Service</v>
      </c>
      <c r="G537" s="4" t="str">
        <f aca="false">INDEX(Products!$C$2:$C$9,MATCH(E537,Products!$A$2:$A$9,0))</f>
        <v>Services</v>
      </c>
      <c r="H537" s="5" t="n">
        <v>1</v>
      </c>
      <c r="I537" s="6" t="n">
        <f aca="false">INDEX(Products!$D$2:$D$9,MATCH(E537,Products!$A$2:$A$9,0))</f>
        <v>450</v>
      </c>
      <c r="J537" s="7" t="n">
        <v>0.1</v>
      </c>
      <c r="K537" s="8" t="n">
        <f aca="false">H537*I537*(1-J537)</f>
        <v>405</v>
      </c>
      <c r="L537" s="6" t="n">
        <f aca="false">H537*INDEX(Products!$E$2:$E$9,MATCH(E537,Products!$A$2:$A$9,0))</f>
        <v>310</v>
      </c>
      <c r="M537" s="8" t="n">
        <f aca="false">K537-L537</f>
        <v>95</v>
      </c>
      <c r="N537" s="2" t="s">
        <v>19</v>
      </c>
      <c r="O537" s="2" t="s">
        <v>20</v>
      </c>
    </row>
    <row r="538" customFormat="false" ht="15" hidden="false" customHeight="false" outlineLevel="0" collapsed="false">
      <c r="A538" s="2" t="s">
        <v>592</v>
      </c>
      <c r="B538" s="3" t="n">
        <v>45896</v>
      </c>
      <c r="C538" s="2" t="s">
        <v>16</v>
      </c>
      <c r="D538" s="2" t="s">
        <v>22</v>
      </c>
      <c r="E538" s="2" t="s">
        <v>26</v>
      </c>
      <c r="F538" s="4" t="str">
        <f aca="false">INDEX(Products!$B$2:$B$9,MATCH(E538,Products!$A$2:$A$9,0))</f>
        <v>Analytics Basic</v>
      </c>
      <c r="G538" s="4" t="str">
        <f aca="false">INDEX(Products!$C$2:$C$9,MATCH(E538,Products!$A$2:$A$9,0))</f>
        <v>Software</v>
      </c>
      <c r="H538" s="5" t="n">
        <v>1</v>
      </c>
      <c r="I538" s="6" t="n">
        <f aca="false">INDEX(Products!$D$2:$D$9,MATCH(E538,Products!$A$2:$A$9,0))</f>
        <v>120</v>
      </c>
      <c r="J538" s="7" t="n">
        <v>0.1</v>
      </c>
      <c r="K538" s="8" t="n">
        <f aca="false">H538*I538*(1-J538)</f>
        <v>108</v>
      </c>
      <c r="L538" s="6" t="n">
        <f aca="false">H538*INDEX(Products!$E$2:$E$9,MATCH(E538,Products!$A$2:$A$9,0))</f>
        <v>18</v>
      </c>
      <c r="M538" s="8" t="n">
        <f aca="false">K538-L538</f>
        <v>90</v>
      </c>
      <c r="N538" s="2" t="s">
        <v>19</v>
      </c>
      <c r="O538" s="2" t="s">
        <v>20</v>
      </c>
    </row>
    <row r="539" customFormat="false" ht="15" hidden="false" customHeight="false" outlineLevel="0" collapsed="false">
      <c r="A539" s="2" t="s">
        <v>593</v>
      </c>
      <c r="B539" s="3" t="n">
        <v>45897</v>
      </c>
      <c r="C539" s="2" t="s">
        <v>16</v>
      </c>
      <c r="D539" s="2" t="s">
        <v>17</v>
      </c>
      <c r="E539" s="2" t="s">
        <v>61</v>
      </c>
      <c r="F539" s="4" t="str">
        <f aca="false">INDEX(Products!$B$2:$B$9,MATCH(E539,Products!$A$2:$A$9,0))</f>
        <v>Install Service</v>
      </c>
      <c r="G539" s="4" t="str">
        <f aca="false">INDEX(Products!$C$2:$C$9,MATCH(E539,Products!$A$2:$A$9,0))</f>
        <v>Services</v>
      </c>
      <c r="H539" s="5" t="n">
        <v>5</v>
      </c>
      <c r="I539" s="6" t="n">
        <f aca="false">INDEX(Products!$D$2:$D$9,MATCH(E539,Products!$A$2:$A$9,0))</f>
        <v>450</v>
      </c>
      <c r="J539" s="7" t="n">
        <v>0.1</v>
      </c>
      <c r="K539" s="8" t="n">
        <f aca="false">H539*I539*(1-J539)</f>
        <v>2025</v>
      </c>
      <c r="L539" s="6" t="n">
        <f aca="false">H539*INDEX(Products!$E$2:$E$9,MATCH(E539,Products!$A$2:$A$9,0))</f>
        <v>1550</v>
      </c>
      <c r="M539" s="8" t="n">
        <f aca="false">K539-L539</f>
        <v>475</v>
      </c>
      <c r="N539" s="2" t="s">
        <v>28</v>
      </c>
      <c r="O539" s="2" t="s">
        <v>20</v>
      </c>
    </row>
    <row r="540" customFormat="false" ht="15" hidden="false" customHeight="false" outlineLevel="0" collapsed="false">
      <c r="A540" s="2" t="s">
        <v>594</v>
      </c>
      <c r="B540" s="3" t="n">
        <v>45900</v>
      </c>
      <c r="C540" s="2" t="s">
        <v>16</v>
      </c>
      <c r="D540" s="2" t="s">
        <v>35</v>
      </c>
      <c r="E540" s="2" t="s">
        <v>32</v>
      </c>
      <c r="F540" s="4" t="str">
        <f aca="false">INDEX(Products!$B$2:$B$9,MATCH(E540,Products!$A$2:$A$9,0))</f>
        <v>Analytics Plus</v>
      </c>
      <c r="G540" s="4" t="str">
        <f aca="false">INDEX(Products!$C$2:$C$9,MATCH(E540,Products!$A$2:$A$9,0))</f>
        <v>Software</v>
      </c>
      <c r="H540" s="5" t="n">
        <v>2</v>
      </c>
      <c r="I540" s="6" t="n">
        <f aca="false">INDEX(Products!$D$2:$D$9,MATCH(E540,Products!$A$2:$A$9,0))</f>
        <v>290</v>
      </c>
      <c r="J540" s="7" t="n">
        <v>0.2</v>
      </c>
      <c r="K540" s="8" t="n">
        <f aca="false">H540*I540*(1-J540)</f>
        <v>464</v>
      </c>
      <c r="L540" s="6" t="n">
        <f aca="false">H540*INDEX(Products!$E$2:$E$9,MATCH(E540,Products!$A$2:$A$9,0))</f>
        <v>82</v>
      </c>
      <c r="M540" s="8" t="n">
        <f aca="false">K540-L540</f>
        <v>382</v>
      </c>
      <c r="N540" s="2" t="s">
        <v>19</v>
      </c>
      <c r="O540" s="2" t="s">
        <v>36</v>
      </c>
    </row>
    <row r="541" customFormat="false" ht="15" hidden="false" customHeight="false" outlineLevel="0" collapsed="false">
      <c r="A541" s="2" t="s">
        <v>595</v>
      </c>
      <c r="B541" s="3" t="n">
        <v>45901</v>
      </c>
      <c r="C541" s="2" t="s">
        <v>41</v>
      </c>
      <c r="D541" s="2" t="s">
        <v>42</v>
      </c>
      <c r="E541" s="2" t="s">
        <v>49</v>
      </c>
      <c r="F541" s="4" t="str">
        <f aca="false">INDEX(Products!$B$2:$B$9,MATCH(E541,Products!$A$2:$A$9,0))</f>
        <v>Mounting Kit</v>
      </c>
      <c r="G541" s="4" t="str">
        <f aca="false">INDEX(Products!$C$2:$C$9,MATCH(E541,Products!$A$2:$A$9,0))</f>
        <v>Accessories</v>
      </c>
      <c r="H541" s="5" t="n">
        <v>3</v>
      </c>
      <c r="I541" s="6" t="n">
        <f aca="false">INDEX(Products!$D$2:$D$9,MATCH(E541,Products!$A$2:$A$9,0))</f>
        <v>39</v>
      </c>
      <c r="J541" s="7" t="n">
        <v>0.1</v>
      </c>
      <c r="K541" s="8" t="n">
        <f aca="false">H541*I541*(1-J541)</f>
        <v>105.3</v>
      </c>
      <c r="L541" s="6" t="n">
        <f aca="false">H541*INDEX(Products!$E$2:$E$9,MATCH(E541,Products!$A$2:$A$9,0))</f>
        <v>94.5</v>
      </c>
      <c r="M541" s="8" t="n">
        <f aca="false">K541-L541</f>
        <v>10.8</v>
      </c>
      <c r="N541" s="2" t="s">
        <v>28</v>
      </c>
      <c r="O541" s="2" t="s">
        <v>43</v>
      </c>
    </row>
    <row r="542" customFormat="false" ht="15" hidden="false" customHeight="false" outlineLevel="0" collapsed="false">
      <c r="A542" s="2" t="s">
        <v>596</v>
      </c>
      <c r="B542" s="3" t="n">
        <v>45901</v>
      </c>
      <c r="C542" s="2" t="s">
        <v>59</v>
      </c>
      <c r="D542" s="2" t="s">
        <v>91</v>
      </c>
      <c r="E542" s="2" t="s">
        <v>61</v>
      </c>
      <c r="F542" s="4" t="str">
        <f aca="false">INDEX(Products!$B$2:$B$9,MATCH(E542,Products!$A$2:$A$9,0))</f>
        <v>Install Service</v>
      </c>
      <c r="G542" s="4" t="str">
        <f aca="false">INDEX(Products!$C$2:$C$9,MATCH(E542,Products!$A$2:$A$9,0))</f>
        <v>Services</v>
      </c>
      <c r="H542" s="5" t="n">
        <v>1</v>
      </c>
      <c r="I542" s="6" t="n">
        <f aca="false">INDEX(Products!$D$2:$D$9,MATCH(E542,Products!$A$2:$A$9,0))</f>
        <v>450</v>
      </c>
      <c r="J542" s="7" t="n">
        <v>0.05</v>
      </c>
      <c r="K542" s="8" t="n">
        <f aca="false">H542*I542*(1-J542)</f>
        <v>427.5</v>
      </c>
      <c r="L542" s="6" t="n">
        <f aca="false">H542*INDEX(Products!$E$2:$E$9,MATCH(E542,Products!$A$2:$A$9,0))</f>
        <v>310</v>
      </c>
      <c r="M542" s="8" t="n">
        <f aca="false">K542-L542</f>
        <v>117.5</v>
      </c>
      <c r="N542" s="2" t="s">
        <v>28</v>
      </c>
      <c r="O542" s="2" t="s">
        <v>62</v>
      </c>
    </row>
    <row r="543" customFormat="false" ht="15" hidden="false" customHeight="false" outlineLevel="0" collapsed="false">
      <c r="A543" s="2" t="s">
        <v>597</v>
      </c>
      <c r="B543" s="3" t="n">
        <v>45901</v>
      </c>
      <c r="C543" s="2" t="s">
        <v>16</v>
      </c>
      <c r="D543" s="2" t="s">
        <v>22</v>
      </c>
      <c r="E543" s="2" t="s">
        <v>26</v>
      </c>
      <c r="F543" s="4" t="str">
        <f aca="false">INDEX(Products!$B$2:$B$9,MATCH(E543,Products!$A$2:$A$9,0))</f>
        <v>Analytics Basic</v>
      </c>
      <c r="G543" s="4" t="str">
        <f aca="false">INDEX(Products!$C$2:$C$9,MATCH(E543,Products!$A$2:$A$9,0))</f>
        <v>Software</v>
      </c>
      <c r="H543" s="5" t="n">
        <v>1</v>
      </c>
      <c r="I543" s="6" t="n">
        <f aca="false">INDEX(Products!$D$2:$D$9,MATCH(E543,Products!$A$2:$A$9,0))</f>
        <v>120</v>
      </c>
      <c r="J543" s="7" t="n">
        <v>0.05</v>
      </c>
      <c r="K543" s="8" t="n">
        <f aca="false">H543*I543*(1-J543)</f>
        <v>114</v>
      </c>
      <c r="L543" s="6" t="n">
        <f aca="false">H543*INDEX(Products!$E$2:$E$9,MATCH(E543,Products!$A$2:$A$9,0))</f>
        <v>18</v>
      </c>
      <c r="M543" s="8" t="n">
        <f aca="false">K543-L543</f>
        <v>96</v>
      </c>
      <c r="N543" s="2" t="s">
        <v>28</v>
      </c>
      <c r="O543" s="2" t="s">
        <v>36</v>
      </c>
    </row>
    <row r="544" customFormat="false" ht="15" hidden="false" customHeight="false" outlineLevel="0" collapsed="false">
      <c r="A544" s="2" t="s">
        <v>598</v>
      </c>
      <c r="B544" s="3" t="n">
        <v>45901</v>
      </c>
      <c r="C544" s="2" t="s">
        <v>16</v>
      </c>
      <c r="D544" s="2" t="s">
        <v>35</v>
      </c>
      <c r="E544" s="2" t="s">
        <v>18</v>
      </c>
      <c r="F544" s="4" t="str">
        <f aca="false">INDEX(Products!$B$2:$B$9,MATCH(E544,Products!$A$2:$A$9,0))</f>
        <v>Sensor Hub Pro</v>
      </c>
      <c r="G544" s="4" t="str">
        <f aca="false">INDEX(Products!$C$2:$C$9,MATCH(E544,Products!$A$2:$A$9,0))</f>
        <v>Hardware</v>
      </c>
      <c r="H544" s="5" t="n">
        <v>1</v>
      </c>
      <c r="I544" s="6" t="n">
        <f aca="false">INDEX(Products!$D$2:$D$9,MATCH(E544,Products!$A$2:$A$9,0))</f>
        <v>349</v>
      </c>
      <c r="J544" s="7" t="n">
        <v>0.2</v>
      </c>
      <c r="K544" s="8" t="n">
        <f aca="false">H544*I544*(1-J544)</f>
        <v>279.2</v>
      </c>
      <c r="L544" s="6" t="n">
        <f aca="false">H544*INDEX(Products!$E$2:$E$9,MATCH(E544,Products!$A$2:$A$9,0))</f>
        <v>201</v>
      </c>
      <c r="M544" s="8" t="n">
        <f aca="false">K544-L544</f>
        <v>78.2</v>
      </c>
      <c r="N544" s="2" t="s">
        <v>19</v>
      </c>
      <c r="O544" s="2" t="s">
        <v>20</v>
      </c>
    </row>
    <row r="545" customFormat="false" ht="15" hidden="false" customHeight="false" outlineLevel="0" collapsed="false">
      <c r="A545" s="2" t="s">
        <v>599</v>
      </c>
      <c r="B545" s="3" t="n">
        <v>45901</v>
      </c>
      <c r="C545" s="2" t="s">
        <v>30</v>
      </c>
      <c r="D545" s="2" t="s">
        <v>128</v>
      </c>
      <c r="E545" s="2" t="s">
        <v>26</v>
      </c>
      <c r="F545" s="4" t="str">
        <f aca="false">INDEX(Products!$B$2:$B$9,MATCH(E545,Products!$A$2:$A$9,0))</f>
        <v>Analytics Basic</v>
      </c>
      <c r="G545" s="4" t="str">
        <f aca="false">INDEX(Products!$C$2:$C$9,MATCH(E545,Products!$A$2:$A$9,0))</f>
        <v>Software</v>
      </c>
      <c r="H545" s="5" t="n">
        <v>1</v>
      </c>
      <c r="I545" s="6" t="n">
        <f aca="false">INDEX(Products!$D$2:$D$9,MATCH(E545,Products!$A$2:$A$9,0))</f>
        <v>120</v>
      </c>
      <c r="J545" s="7" t="n">
        <v>0.1</v>
      </c>
      <c r="K545" s="8" t="n">
        <f aca="false">H545*I545*(1-J545)</f>
        <v>108</v>
      </c>
      <c r="L545" s="6" t="n">
        <f aca="false">H545*INDEX(Products!$E$2:$E$9,MATCH(E545,Products!$A$2:$A$9,0))</f>
        <v>18</v>
      </c>
      <c r="M545" s="8" t="n">
        <f aca="false">K545-L545</f>
        <v>90</v>
      </c>
      <c r="N545" s="2" t="s">
        <v>19</v>
      </c>
      <c r="O545" s="2" t="s">
        <v>64</v>
      </c>
    </row>
    <row r="546" customFormat="false" ht="15" hidden="false" customHeight="false" outlineLevel="0" collapsed="false">
      <c r="A546" s="2" t="s">
        <v>600</v>
      </c>
      <c r="B546" s="3" t="n">
        <v>45902</v>
      </c>
      <c r="C546" s="2" t="s">
        <v>30</v>
      </c>
      <c r="D546" s="2" t="s">
        <v>77</v>
      </c>
      <c r="E546" s="2" t="s">
        <v>23</v>
      </c>
      <c r="F546" s="4" t="str">
        <f aca="false">INDEX(Products!$B$2:$B$9,MATCH(E546,Products!$A$2:$A$9,0))</f>
        <v>Sensor Hub S</v>
      </c>
      <c r="G546" s="4" t="str">
        <f aca="false">INDEX(Products!$C$2:$C$9,MATCH(E546,Products!$A$2:$A$9,0))</f>
        <v>Hardware</v>
      </c>
      <c r="H546" s="5" t="n">
        <v>10</v>
      </c>
      <c r="I546" s="6" t="n">
        <f aca="false">INDEX(Products!$D$2:$D$9,MATCH(E546,Products!$A$2:$A$9,0))</f>
        <v>189</v>
      </c>
      <c r="J546" s="7" t="n">
        <v>0.1</v>
      </c>
      <c r="K546" s="8" t="n">
        <f aca="false">H546*I546*(1-J546)</f>
        <v>1701</v>
      </c>
      <c r="L546" s="6" t="n">
        <f aca="false">H546*INDEX(Products!$E$2:$E$9,MATCH(E546,Products!$A$2:$A$9,0))</f>
        <v>980</v>
      </c>
      <c r="M546" s="8" t="n">
        <f aca="false">K546-L546</f>
        <v>721</v>
      </c>
      <c r="N546" s="2" t="s">
        <v>19</v>
      </c>
      <c r="O546" s="2" t="s">
        <v>64</v>
      </c>
    </row>
    <row r="547" customFormat="false" ht="15" hidden="false" customHeight="false" outlineLevel="0" collapsed="false">
      <c r="A547" s="2" t="s">
        <v>601</v>
      </c>
      <c r="B547" s="3" t="n">
        <v>45902</v>
      </c>
      <c r="C547" s="2" t="s">
        <v>30</v>
      </c>
      <c r="D547" s="2" t="s">
        <v>128</v>
      </c>
      <c r="E547" s="2" t="s">
        <v>32</v>
      </c>
      <c r="F547" s="4" t="str">
        <f aca="false">INDEX(Products!$B$2:$B$9,MATCH(E547,Products!$A$2:$A$9,0))</f>
        <v>Analytics Plus</v>
      </c>
      <c r="G547" s="4" t="str">
        <f aca="false">INDEX(Products!$C$2:$C$9,MATCH(E547,Products!$A$2:$A$9,0))</f>
        <v>Software</v>
      </c>
      <c r="H547" s="5" t="n">
        <v>1</v>
      </c>
      <c r="I547" s="6" t="n">
        <f aca="false">INDEX(Products!$D$2:$D$9,MATCH(E547,Products!$A$2:$A$9,0))</f>
        <v>290</v>
      </c>
      <c r="J547" s="7" t="n">
        <v>0</v>
      </c>
      <c r="K547" s="8" t="n">
        <f aca="false">H547*I547*(1-J547)</f>
        <v>290</v>
      </c>
      <c r="L547" s="6" t="n">
        <f aca="false">H547*INDEX(Products!$E$2:$E$9,MATCH(E547,Products!$A$2:$A$9,0))</f>
        <v>41</v>
      </c>
      <c r="M547" s="8" t="n">
        <f aca="false">K547-L547</f>
        <v>249</v>
      </c>
      <c r="N547" s="2" t="s">
        <v>28</v>
      </c>
      <c r="O547" s="2" t="s">
        <v>33</v>
      </c>
    </row>
    <row r="548" customFormat="false" ht="15" hidden="false" customHeight="false" outlineLevel="0" collapsed="false">
      <c r="A548" s="2" t="s">
        <v>602</v>
      </c>
      <c r="B548" s="3" t="n">
        <v>45902</v>
      </c>
      <c r="C548" s="2" t="s">
        <v>59</v>
      </c>
      <c r="D548" s="2" t="s">
        <v>91</v>
      </c>
      <c r="E548" s="2" t="s">
        <v>68</v>
      </c>
      <c r="F548" s="4" t="str">
        <f aca="false">INDEX(Products!$B$2:$B$9,MATCH(E548,Products!$A$2:$A$9,0))</f>
        <v>Premium Support</v>
      </c>
      <c r="G548" s="4" t="str">
        <f aca="false">INDEX(Products!$C$2:$C$9,MATCH(E548,Products!$A$2:$A$9,0))</f>
        <v>Services</v>
      </c>
      <c r="H548" s="5" t="n">
        <v>5</v>
      </c>
      <c r="I548" s="6" t="n">
        <f aca="false">INDEX(Products!$D$2:$D$9,MATCH(E548,Products!$A$2:$A$9,0))</f>
        <v>600</v>
      </c>
      <c r="J548" s="7" t="n">
        <v>0.1</v>
      </c>
      <c r="K548" s="8" t="n">
        <f aca="false">H548*I548*(1-J548)</f>
        <v>2700</v>
      </c>
      <c r="L548" s="6" t="n">
        <f aca="false">H548*INDEX(Products!$E$2:$E$9,MATCH(E548,Products!$A$2:$A$9,0))</f>
        <v>1975</v>
      </c>
      <c r="M548" s="8" t="n">
        <f aca="false">K548-L548</f>
        <v>725</v>
      </c>
      <c r="N548" s="2" t="s">
        <v>28</v>
      </c>
      <c r="O548" s="2" t="s">
        <v>62</v>
      </c>
    </row>
    <row r="549" customFormat="false" ht="15" hidden="false" customHeight="false" outlineLevel="0" collapsed="false">
      <c r="A549" s="2" t="s">
        <v>603</v>
      </c>
      <c r="B549" s="3" t="n">
        <v>45902</v>
      </c>
      <c r="C549" s="2" t="s">
        <v>16</v>
      </c>
      <c r="D549" s="2" t="s">
        <v>35</v>
      </c>
      <c r="E549" s="2" t="s">
        <v>32</v>
      </c>
      <c r="F549" s="4" t="str">
        <f aca="false">INDEX(Products!$B$2:$B$9,MATCH(E549,Products!$A$2:$A$9,0))</f>
        <v>Analytics Plus</v>
      </c>
      <c r="G549" s="4" t="str">
        <f aca="false">INDEX(Products!$C$2:$C$9,MATCH(E549,Products!$A$2:$A$9,0))</f>
        <v>Software</v>
      </c>
      <c r="H549" s="5" t="n">
        <v>3</v>
      </c>
      <c r="I549" s="6" t="n">
        <f aca="false">INDEX(Products!$D$2:$D$9,MATCH(E549,Products!$A$2:$A$9,0))</f>
        <v>290</v>
      </c>
      <c r="J549" s="7" t="n">
        <v>0</v>
      </c>
      <c r="K549" s="8" t="n">
        <f aca="false">H549*I549*(1-J549)</f>
        <v>870</v>
      </c>
      <c r="L549" s="6" t="n">
        <f aca="false">H549*INDEX(Products!$E$2:$E$9,MATCH(E549,Products!$A$2:$A$9,0))</f>
        <v>123</v>
      </c>
      <c r="M549" s="8" t="n">
        <f aca="false">K549-L549</f>
        <v>747</v>
      </c>
      <c r="N549" s="2" t="s">
        <v>28</v>
      </c>
      <c r="O549" s="2" t="s">
        <v>20</v>
      </c>
    </row>
    <row r="550" customFormat="false" ht="15" hidden="false" customHeight="false" outlineLevel="0" collapsed="false">
      <c r="A550" s="2" t="s">
        <v>604</v>
      </c>
      <c r="B550" s="3" t="n">
        <v>45902</v>
      </c>
      <c r="C550" s="2" t="s">
        <v>30</v>
      </c>
      <c r="D550" s="2" t="s">
        <v>77</v>
      </c>
      <c r="E550" s="2" t="s">
        <v>49</v>
      </c>
      <c r="F550" s="4" t="str">
        <f aca="false">INDEX(Products!$B$2:$B$9,MATCH(E550,Products!$A$2:$A$9,0))</f>
        <v>Mounting Kit</v>
      </c>
      <c r="G550" s="4" t="str">
        <f aca="false">INDEX(Products!$C$2:$C$9,MATCH(E550,Products!$A$2:$A$9,0))</f>
        <v>Accessories</v>
      </c>
      <c r="H550" s="5" t="n">
        <v>5</v>
      </c>
      <c r="I550" s="6" t="n">
        <f aca="false">INDEX(Products!$D$2:$D$9,MATCH(E550,Products!$A$2:$A$9,0))</f>
        <v>39</v>
      </c>
      <c r="J550" s="7" t="n">
        <v>0.1</v>
      </c>
      <c r="K550" s="8" t="n">
        <f aca="false">H550*I550*(1-J550)</f>
        <v>175.5</v>
      </c>
      <c r="L550" s="6" t="n">
        <f aca="false">H550*INDEX(Products!$E$2:$E$9,MATCH(E550,Products!$A$2:$A$9,0))</f>
        <v>157.5</v>
      </c>
      <c r="M550" s="8" t="n">
        <f aca="false">K550-L550</f>
        <v>18</v>
      </c>
      <c r="N550" s="2" t="s">
        <v>28</v>
      </c>
      <c r="O550" s="2" t="s">
        <v>64</v>
      </c>
    </row>
    <row r="551" customFormat="false" ht="15" hidden="false" customHeight="false" outlineLevel="0" collapsed="false">
      <c r="A551" s="2" t="s">
        <v>605</v>
      </c>
      <c r="B551" s="3" t="n">
        <v>45903</v>
      </c>
      <c r="C551" s="2" t="s">
        <v>30</v>
      </c>
      <c r="D551" s="2" t="s">
        <v>77</v>
      </c>
      <c r="E551" s="2" t="s">
        <v>68</v>
      </c>
      <c r="F551" s="4" t="str">
        <f aca="false">INDEX(Products!$B$2:$B$9,MATCH(E551,Products!$A$2:$A$9,0))</f>
        <v>Premium Support</v>
      </c>
      <c r="G551" s="4" t="str">
        <f aca="false">INDEX(Products!$C$2:$C$9,MATCH(E551,Products!$A$2:$A$9,0))</f>
        <v>Services</v>
      </c>
      <c r="H551" s="5" t="n">
        <v>1</v>
      </c>
      <c r="I551" s="6" t="n">
        <f aca="false">INDEX(Products!$D$2:$D$9,MATCH(E551,Products!$A$2:$A$9,0))</f>
        <v>600</v>
      </c>
      <c r="J551" s="7" t="n">
        <v>0.15</v>
      </c>
      <c r="K551" s="8" t="n">
        <f aca="false">H551*I551*(1-J551)</f>
        <v>510</v>
      </c>
      <c r="L551" s="6" t="n">
        <f aca="false">H551*INDEX(Products!$E$2:$E$9,MATCH(E551,Products!$A$2:$A$9,0))</f>
        <v>395</v>
      </c>
      <c r="M551" s="8" t="n">
        <f aca="false">K551-L551</f>
        <v>115</v>
      </c>
      <c r="N551" s="2" t="s">
        <v>19</v>
      </c>
      <c r="O551" s="2" t="s">
        <v>33</v>
      </c>
    </row>
    <row r="552" customFormat="false" ht="15" hidden="false" customHeight="false" outlineLevel="0" collapsed="false">
      <c r="A552" s="2" t="s">
        <v>606</v>
      </c>
      <c r="B552" s="3" t="n">
        <v>45903</v>
      </c>
      <c r="C552" s="2" t="s">
        <v>16</v>
      </c>
      <c r="D552" s="2" t="s">
        <v>17</v>
      </c>
      <c r="E552" s="2" t="s">
        <v>49</v>
      </c>
      <c r="F552" s="4" t="str">
        <f aca="false">INDEX(Products!$B$2:$B$9,MATCH(E552,Products!$A$2:$A$9,0))</f>
        <v>Mounting Kit</v>
      </c>
      <c r="G552" s="4" t="str">
        <f aca="false">INDEX(Products!$C$2:$C$9,MATCH(E552,Products!$A$2:$A$9,0))</f>
        <v>Accessories</v>
      </c>
      <c r="H552" s="5" t="n">
        <v>2</v>
      </c>
      <c r="I552" s="6" t="n">
        <f aca="false">INDEX(Products!$D$2:$D$9,MATCH(E552,Products!$A$2:$A$9,0))</f>
        <v>39</v>
      </c>
      <c r="J552" s="7" t="n">
        <v>0</v>
      </c>
      <c r="K552" s="8" t="n">
        <f aca="false">H552*I552*(1-J552)</f>
        <v>78</v>
      </c>
      <c r="L552" s="6" t="n">
        <f aca="false">H552*INDEX(Products!$E$2:$E$9,MATCH(E552,Products!$A$2:$A$9,0))</f>
        <v>63</v>
      </c>
      <c r="M552" s="8" t="n">
        <f aca="false">K552-L552</f>
        <v>15</v>
      </c>
      <c r="N552" s="2" t="s">
        <v>28</v>
      </c>
      <c r="O552" s="2" t="s">
        <v>36</v>
      </c>
    </row>
    <row r="553" customFormat="false" ht="15" hidden="false" customHeight="false" outlineLevel="0" collapsed="false">
      <c r="A553" s="2" t="s">
        <v>607</v>
      </c>
      <c r="B553" s="3" t="n">
        <v>45903</v>
      </c>
      <c r="C553" s="2" t="s">
        <v>59</v>
      </c>
      <c r="D553" s="2" t="s">
        <v>101</v>
      </c>
      <c r="E553" s="2" t="s">
        <v>61</v>
      </c>
      <c r="F553" s="4" t="str">
        <f aca="false">INDEX(Products!$B$2:$B$9,MATCH(E553,Products!$A$2:$A$9,0))</f>
        <v>Install Service</v>
      </c>
      <c r="G553" s="4" t="str">
        <f aca="false">INDEX(Products!$C$2:$C$9,MATCH(E553,Products!$A$2:$A$9,0))</f>
        <v>Services</v>
      </c>
      <c r="H553" s="5" t="n">
        <v>3</v>
      </c>
      <c r="I553" s="6" t="n">
        <f aca="false">INDEX(Products!$D$2:$D$9,MATCH(E553,Products!$A$2:$A$9,0))</f>
        <v>450</v>
      </c>
      <c r="J553" s="7" t="n">
        <v>0</v>
      </c>
      <c r="K553" s="8" t="n">
        <f aca="false">H553*I553*(1-J553)</f>
        <v>1350</v>
      </c>
      <c r="L553" s="6" t="n">
        <f aca="false">H553*INDEX(Products!$E$2:$E$9,MATCH(E553,Products!$A$2:$A$9,0))</f>
        <v>930</v>
      </c>
      <c r="M553" s="8" t="n">
        <f aca="false">K553-L553</f>
        <v>420</v>
      </c>
      <c r="N553" s="2" t="s">
        <v>28</v>
      </c>
      <c r="O553" s="2" t="s">
        <v>62</v>
      </c>
    </row>
    <row r="554" customFormat="false" ht="15" hidden="false" customHeight="false" outlineLevel="0" collapsed="false">
      <c r="A554" s="2" t="s">
        <v>608</v>
      </c>
      <c r="B554" s="3" t="n">
        <v>45904</v>
      </c>
      <c r="C554" s="2" t="s">
        <v>16</v>
      </c>
      <c r="D554" s="2" t="s">
        <v>25</v>
      </c>
      <c r="E554" s="2" t="s">
        <v>26</v>
      </c>
      <c r="F554" s="4" t="str">
        <f aca="false">INDEX(Products!$B$2:$B$9,MATCH(E554,Products!$A$2:$A$9,0))</f>
        <v>Analytics Basic</v>
      </c>
      <c r="G554" s="4" t="str">
        <f aca="false">INDEX(Products!$C$2:$C$9,MATCH(E554,Products!$A$2:$A$9,0))</f>
        <v>Software</v>
      </c>
      <c r="H554" s="5" t="n">
        <v>5</v>
      </c>
      <c r="I554" s="6" t="n">
        <f aca="false">INDEX(Products!$D$2:$D$9,MATCH(E554,Products!$A$2:$A$9,0))</f>
        <v>120</v>
      </c>
      <c r="J554" s="7" t="n">
        <v>0.1</v>
      </c>
      <c r="K554" s="8" t="n">
        <f aca="false">H554*I554*(1-J554)</f>
        <v>540</v>
      </c>
      <c r="L554" s="6" t="n">
        <f aca="false">H554*INDEX(Products!$E$2:$E$9,MATCH(E554,Products!$A$2:$A$9,0))</f>
        <v>90</v>
      </c>
      <c r="M554" s="8" t="n">
        <f aca="false">K554-L554</f>
        <v>450</v>
      </c>
      <c r="N554" s="2" t="s">
        <v>38</v>
      </c>
      <c r="O554" s="2" t="s">
        <v>36</v>
      </c>
    </row>
    <row r="555" customFormat="false" ht="15" hidden="false" customHeight="false" outlineLevel="0" collapsed="false">
      <c r="A555" s="2" t="s">
        <v>609</v>
      </c>
      <c r="B555" s="3" t="n">
        <v>45904</v>
      </c>
      <c r="C555" s="2" t="s">
        <v>41</v>
      </c>
      <c r="D555" s="2" t="s">
        <v>42</v>
      </c>
      <c r="E555" s="2" t="s">
        <v>23</v>
      </c>
      <c r="F555" s="4" t="str">
        <f aca="false">INDEX(Products!$B$2:$B$9,MATCH(E555,Products!$A$2:$A$9,0))</f>
        <v>Sensor Hub S</v>
      </c>
      <c r="G555" s="4" t="str">
        <f aca="false">INDEX(Products!$C$2:$C$9,MATCH(E555,Products!$A$2:$A$9,0))</f>
        <v>Hardware</v>
      </c>
      <c r="H555" s="5" t="n">
        <v>8</v>
      </c>
      <c r="I555" s="6" t="n">
        <f aca="false">INDEX(Products!$D$2:$D$9,MATCH(E555,Products!$A$2:$A$9,0))</f>
        <v>189</v>
      </c>
      <c r="J555" s="7" t="n">
        <v>0.1</v>
      </c>
      <c r="K555" s="8" t="n">
        <f aca="false">H555*I555*(1-J555)</f>
        <v>1360.8</v>
      </c>
      <c r="L555" s="6" t="n">
        <f aca="false">H555*INDEX(Products!$E$2:$E$9,MATCH(E555,Products!$A$2:$A$9,0))</f>
        <v>784</v>
      </c>
      <c r="M555" s="8" t="n">
        <f aca="false">K555-L555</f>
        <v>576.8</v>
      </c>
      <c r="N555" s="2" t="s">
        <v>19</v>
      </c>
      <c r="O555" s="2" t="s">
        <v>43</v>
      </c>
    </row>
    <row r="556" customFormat="false" ht="15" hidden="false" customHeight="false" outlineLevel="0" collapsed="false">
      <c r="A556" s="2" t="s">
        <v>610</v>
      </c>
      <c r="B556" s="3" t="n">
        <v>45904</v>
      </c>
      <c r="C556" s="2" t="s">
        <v>16</v>
      </c>
      <c r="D556" s="2" t="s">
        <v>22</v>
      </c>
      <c r="E556" s="2" t="s">
        <v>61</v>
      </c>
      <c r="F556" s="4" t="str">
        <f aca="false">INDEX(Products!$B$2:$B$9,MATCH(E556,Products!$A$2:$A$9,0))</f>
        <v>Install Service</v>
      </c>
      <c r="G556" s="4" t="str">
        <f aca="false">INDEX(Products!$C$2:$C$9,MATCH(E556,Products!$A$2:$A$9,0))</f>
        <v>Services</v>
      </c>
      <c r="H556" s="5" t="n">
        <v>3</v>
      </c>
      <c r="I556" s="6" t="n">
        <f aca="false">INDEX(Products!$D$2:$D$9,MATCH(E556,Products!$A$2:$A$9,0))</f>
        <v>450</v>
      </c>
      <c r="J556" s="7" t="n">
        <v>0.15</v>
      </c>
      <c r="K556" s="8" t="n">
        <f aca="false">H556*I556*(1-J556)</f>
        <v>1147.5</v>
      </c>
      <c r="L556" s="6" t="n">
        <f aca="false">H556*INDEX(Products!$E$2:$E$9,MATCH(E556,Products!$A$2:$A$9,0))</f>
        <v>930</v>
      </c>
      <c r="M556" s="8" t="n">
        <f aca="false">K556-L556</f>
        <v>217.5</v>
      </c>
      <c r="N556" s="2" t="s">
        <v>28</v>
      </c>
      <c r="O556" s="2" t="s">
        <v>20</v>
      </c>
    </row>
    <row r="557" customFormat="false" ht="15" hidden="false" customHeight="false" outlineLevel="0" collapsed="false">
      <c r="A557" s="2" t="s">
        <v>611</v>
      </c>
      <c r="B557" s="3" t="n">
        <v>45904</v>
      </c>
      <c r="C557" s="2" t="s">
        <v>47</v>
      </c>
      <c r="D557" s="2" t="s">
        <v>71</v>
      </c>
      <c r="E557" s="2" t="s">
        <v>26</v>
      </c>
      <c r="F557" s="4" t="str">
        <f aca="false">INDEX(Products!$B$2:$B$9,MATCH(E557,Products!$A$2:$A$9,0))</f>
        <v>Analytics Basic</v>
      </c>
      <c r="G557" s="4" t="str">
        <f aca="false">INDEX(Products!$C$2:$C$9,MATCH(E557,Products!$A$2:$A$9,0))</f>
        <v>Software</v>
      </c>
      <c r="H557" s="5" t="n">
        <v>2</v>
      </c>
      <c r="I557" s="6" t="n">
        <f aca="false">INDEX(Products!$D$2:$D$9,MATCH(E557,Products!$A$2:$A$9,0))</f>
        <v>120</v>
      </c>
      <c r="J557" s="7" t="n">
        <v>0</v>
      </c>
      <c r="K557" s="8" t="n">
        <f aca="false">H557*I557*(1-J557)</f>
        <v>240</v>
      </c>
      <c r="L557" s="6" t="n">
        <f aca="false">H557*INDEX(Products!$E$2:$E$9,MATCH(E557,Products!$A$2:$A$9,0))</f>
        <v>36</v>
      </c>
      <c r="M557" s="8" t="n">
        <f aca="false">K557-L557</f>
        <v>204</v>
      </c>
      <c r="N557" s="2" t="s">
        <v>28</v>
      </c>
      <c r="O557" s="2" t="s">
        <v>72</v>
      </c>
    </row>
    <row r="558" customFormat="false" ht="15" hidden="false" customHeight="false" outlineLevel="0" collapsed="false">
      <c r="A558" s="2" t="s">
        <v>612</v>
      </c>
      <c r="B558" s="3" t="n">
        <v>45905</v>
      </c>
      <c r="C558" s="2" t="s">
        <v>47</v>
      </c>
      <c r="D558" s="2" t="s">
        <v>55</v>
      </c>
      <c r="E558" s="2" t="s">
        <v>32</v>
      </c>
      <c r="F558" s="4" t="str">
        <f aca="false">INDEX(Products!$B$2:$B$9,MATCH(E558,Products!$A$2:$A$9,0))</f>
        <v>Analytics Plus</v>
      </c>
      <c r="G558" s="4" t="str">
        <f aca="false">INDEX(Products!$C$2:$C$9,MATCH(E558,Products!$A$2:$A$9,0))</f>
        <v>Software</v>
      </c>
      <c r="H558" s="5" t="n">
        <v>3</v>
      </c>
      <c r="I558" s="6" t="n">
        <f aca="false">INDEX(Products!$D$2:$D$9,MATCH(E558,Products!$A$2:$A$9,0))</f>
        <v>290</v>
      </c>
      <c r="J558" s="7" t="n">
        <v>0.1</v>
      </c>
      <c r="K558" s="8" t="n">
        <f aca="false">H558*I558*(1-J558)</f>
        <v>783</v>
      </c>
      <c r="L558" s="6" t="n">
        <f aca="false">H558*INDEX(Products!$E$2:$E$9,MATCH(E558,Products!$A$2:$A$9,0))</f>
        <v>123</v>
      </c>
      <c r="M558" s="8" t="n">
        <f aca="false">K558-L558</f>
        <v>660</v>
      </c>
      <c r="N558" s="2" t="s">
        <v>28</v>
      </c>
      <c r="O558" s="2" t="s">
        <v>72</v>
      </c>
    </row>
    <row r="559" customFormat="false" ht="15" hidden="false" customHeight="false" outlineLevel="0" collapsed="false">
      <c r="A559" s="2" t="s">
        <v>613</v>
      </c>
      <c r="B559" s="3" t="n">
        <v>45905</v>
      </c>
      <c r="C559" s="2" t="s">
        <v>47</v>
      </c>
      <c r="D559" s="2" t="s">
        <v>55</v>
      </c>
      <c r="E559" s="2" t="s">
        <v>26</v>
      </c>
      <c r="F559" s="4" t="str">
        <f aca="false">INDEX(Products!$B$2:$B$9,MATCH(E559,Products!$A$2:$A$9,0))</f>
        <v>Analytics Basic</v>
      </c>
      <c r="G559" s="4" t="str">
        <f aca="false">INDEX(Products!$C$2:$C$9,MATCH(E559,Products!$A$2:$A$9,0))</f>
        <v>Software</v>
      </c>
      <c r="H559" s="5" t="n">
        <v>1</v>
      </c>
      <c r="I559" s="6" t="n">
        <f aca="false">INDEX(Products!$D$2:$D$9,MATCH(E559,Products!$A$2:$A$9,0))</f>
        <v>120</v>
      </c>
      <c r="J559" s="7" t="n">
        <v>0.1</v>
      </c>
      <c r="K559" s="8" t="n">
        <f aca="false">H559*I559*(1-J559)</f>
        <v>108</v>
      </c>
      <c r="L559" s="6" t="n">
        <f aca="false">H559*INDEX(Products!$E$2:$E$9,MATCH(E559,Products!$A$2:$A$9,0))</f>
        <v>18</v>
      </c>
      <c r="M559" s="8" t="n">
        <f aca="false">K559-L559</f>
        <v>90</v>
      </c>
      <c r="N559" s="2" t="s">
        <v>19</v>
      </c>
      <c r="O559" s="2" t="s">
        <v>50</v>
      </c>
    </row>
    <row r="560" customFormat="false" ht="15" hidden="false" customHeight="false" outlineLevel="0" collapsed="false">
      <c r="A560" s="2" t="s">
        <v>614</v>
      </c>
      <c r="B560" s="3" t="n">
        <v>45905</v>
      </c>
      <c r="C560" s="2" t="s">
        <v>41</v>
      </c>
      <c r="D560" s="2" t="s">
        <v>66</v>
      </c>
      <c r="E560" s="2" t="s">
        <v>26</v>
      </c>
      <c r="F560" s="4" t="str">
        <f aca="false">INDEX(Products!$B$2:$B$9,MATCH(E560,Products!$A$2:$A$9,0))</f>
        <v>Analytics Basic</v>
      </c>
      <c r="G560" s="4" t="str">
        <f aca="false">INDEX(Products!$C$2:$C$9,MATCH(E560,Products!$A$2:$A$9,0))</f>
        <v>Software</v>
      </c>
      <c r="H560" s="5" t="n">
        <v>2</v>
      </c>
      <c r="I560" s="6" t="n">
        <f aca="false">INDEX(Products!$D$2:$D$9,MATCH(E560,Products!$A$2:$A$9,0))</f>
        <v>120</v>
      </c>
      <c r="J560" s="7" t="n">
        <v>0.1</v>
      </c>
      <c r="K560" s="8" t="n">
        <f aca="false">H560*I560*(1-J560)</f>
        <v>216</v>
      </c>
      <c r="L560" s="6" t="n">
        <f aca="false">H560*INDEX(Products!$E$2:$E$9,MATCH(E560,Products!$A$2:$A$9,0))</f>
        <v>36</v>
      </c>
      <c r="M560" s="8" t="n">
        <f aca="false">K560-L560</f>
        <v>180</v>
      </c>
      <c r="N560" s="2" t="s">
        <v>19</v>
      </c>
      <c r="O560" s="2" t="s">
        <v>43</v>
      </c>
    </row>
    <row r="561" customFormat="false" ht="15" hidden="false" customHeight="false" outlineLevel="0" collapsed="false">
      <c r="A561" s="2" t="s">
        <v>615</v>
      </c>
      <c r="B561" s="3" t="n">
        <v>45908</v>
      </c>
      <c r="C561" s="2" t="s">
        <v>16</v>
      </c>
      <c r="D561" s="2" t="s">
        <v>22</v>
      </c>
      <c r="E561" s="2" t="s">
        <v>32</v>
      </c>
      <c r="F561" s="4" t="str">
        <f aca="false">INDEX(Products!$B$2:$B$9,MATCH(E561,Products!$A$2:$A$9,0))</f>
        <v>Analytics Plus</v>
      </c>
      <c r="G561" s="4" t="str">
        <f aca="false">INDEX(Products!$C$2:$C$9,MATCH(E561,Products!$A$2:$A$9,0))</f>
        <v>Software</v>
      </c>
      <c r="H561" s="5" t="n">
        <v>5</v>
      </c>
      <c r="I561" s="6" t="n">
        <f aca="false">INDEX(Products!$D$2:$D$9,MATCH(E561,Products!$A$2:$A$9,0))</f>
        <v>290</v>
      </c>
      <c r="J561" s="7" t="n">
        <v>0.1</v>
      </c>
      <c r="K561" s="8" t="n">
        <f aca="false">H561*I561*(1-J561)</f>
        <v>1305</v>
      </c>
      <c r="L561" s="6" t="n">
        <f aca="false">H561*INDEX(Products!$E$2:$E$9,MATCH(E561,Products!$A$2:$A$9,0))</f>
        <v>205</v>
      </c>
      <c r="M561" s="8" t="n">
        <f aca="false">K561-L561</f>
        <v>1100</v>
      </c>
      <c r="N561" s="2" t="s">
        <v>19</v>
      </c>
      <c r="O561" s="2" t="s">
        <v>36</v>
      </c>
    </row>
    <row r="562" customFormat="false" ht="15" hidden="false" customHeight="false" outlineLevel="0" collapsed="false">
      <c r="A562" s="2" t="s">
        <v>616</v>
      </c>
      <c r="B562" s="3" t="n">
        <v>45909</v>
      </c>
      <c r="C562" s="2" t="s">
        <v>16</v>
      </c>
      <c r="D562" s="2" t="s">
        <v>35</v>
      </c>
      <c r="E562" s="2" t="s">
        <v>26</v>
      </c>
      <c r="F562" s="4" t="str">
        <f aca="false">INDEX(Products!$B$2:$B$9,MATCH(E562,Products!$A$2:$A$9,0))</f>
        <v>Analytics Basic</v>
      </c>
      <c r="G562" s="4" t="str">
        <f aca="false">INDEX(Products!$C$2:$C$9,MATCH(E562,Products!$A$2:$A$9,0))</f>
        <v>Software</v>
      </c>
      <c r="H562" s="5" t="n">
        <v>2</v>
      </c>
      <c r="I562" s="6" t="n">
        <f aca="false">INDEX(Products!$D$2:$D$9,MATCH(E562,Products!$A$2:$A$9,0))</f>
        <v>120</v>
      </c>
      <c r="J562" s="7" t="n">
        <v>0.1</v>
      </c>
      <c r="K562" s="8" t="n">
        <f aca="false">H562*I562*(1-J562)</f>
        <v>216</v>
      </c>
      <c r="L562" s="6" t="n">
        <f aca="false">H562*INDEX(Products!$E$2:$E$9,MATCH(E562,Products!$A$2:$A$9,0))</f>
        <v>36</v>
      </c>
      <c r="M562" s="8" t="n">
        <f aca="false">K562-L562</f>
        <v>180</v>
      </c>
      <c r="N562" s="2" t="s">
        <v>19</v>
      </c>
      <c r="O562" s="2" t="s">
        <v>36</v>
      </c>
    </row>
    <row r="563" customFormat="false" ht="15" hidden="false" customHeight="false" outlineLevel="0" collapsed="false">
      <c r="A563" s="2" t="s">
        <v>617</v>
      </c>
      <c r="B563" s="3" t="n">
        <v>45909</v>
      </c>
      <c r="C563" s="2" t="s">
        <v>41</v>
      </c>
      <c r="D563" s="2" t="s">
        <v>42</v>
      </c>
      <c r="E563" s="2" t="s">
        <v>49</v>
      </c>
      <c r="F563" s="4" t="str">
        <f aca="false">INDEX(Products!$B$2:$B$9,MATCH(E563,Products!$A$2:$A$9,0))</f>
        <v>Mounting Kit</v>
      </c>
      <c r="G563" s="4" t="str">
        <f aca="false">INDEX(Products!$C$2:$C$9,MATCH(E563,Products!$A$2:$A$9,0))</f>
        <v>Accessories</v>
      </c>
      <c r="H563" s="5" t="n">
        <v>4</v>
      </c>
      <c r="I563" s="6" t="n">
        <f aca="false">INDEX(Products!$D$2:$D$9,MATCH(E563,Products!$A$2:$A$9,0))</f>
        <v>39</v>
      </c>
      <c r="J563" s="7" t="n">
        <v>0.1</v>
      </c>
      <c r="K563" s="8" t="n">
        <f aca="false">H563*I563*(1-J563)</f>
        <v>140.4</v>
      </c>
      <c r="L563" s="6" t="n">
        <f aca="false">H563*INDEX(Products!$E$2:$E$9,MATCH(E563,Products!$A$2:$A$9,0))</f>
        <v>126</v>
      </c>
      <c r="M563" s="8" t="n">
        <f aca="false">K563-L563</f>
        <v>14.4</v>
      </c>
      <c r="N563" s="2" t="s">
        <v>28</v>
      </c>
      <c r="O563" s="2" t="s">
        <v>43</v>
      </c>
    </row>
    <row r="564" customFormat="false" ht="15" hidden="false" customHeight="false" outlineLevel="0" collapsed="false">
      <c r="A564" s="2" t="s">
        <v>618</v>
      </c>
      <c r="B564" s="3" t="n">
        <v>45909</v>
      </c>
      <c r="C564" s="2" t="s">
        <v>16</v>
      </c>
      <c r="D564" s="2" t="s">
        <v>17</v>
      </c>
      <c r="E564" s="2" t="s">
        <v>32</v>
      </c>
      <c r="F564" s="4" t="str">
        <f aca="false">INDEX(Products!$B$2:$B$9,MATCH(E564,Products!$A$2:$A$9,0))</f>
        <v>Analytics Plus</v>
      </c>
      <c r="G564" s="4" t="str">
        <f aca="false">INDEX(Products!$C$2:$C$9,MATCH(E564,Products!$A$2:$A$9,0))</f>
        <v>Software</v>
      </c>
      <c r="H564" s="5" t="n">
        <v>1</v>
      </c>
      <c r="I564" s="6" t="n">
        <f aca="false">INDEX(Products!$D$2:$D$9,MATCH(E564,Products!$A$2:$A$9,0))</f>
        <v>290</v>
      </c>
      <c r="J564" s="7" t="n">
        <v>0</v>
      </c>
      <c r="K564" s="8" t="n">
        <f aca="false">H564*I564*(1-J564)</f>
        <v>290</v>
      </c>
      <c r="L564" s="6" t="n">
        <f aca="false">H564*INDEX(Products!$E$2:$E$9,MATCH(E564,Products!$A$2:$A$9,0))</f>
        <v>41</v>
      </c>
      <c r="M564" s="8" t="n">
        <f aca="false">K564-L564</f>
        <v>249</v>
      </c>
      <c r="N564" s="2" t="s">
        <v>28</v>
      </c>
      <c r="O564" s="2" t="s">
        <v>20</v>
      </c>
    </row>
    <row r="565" customFormat="false" ht="15" hidden="false" customHeight="false" outlineLevel="0" collapsed="false">
      <c r="A565" s="2" t="s">
        <v>619</v>
      </c>
      <c r="B565" s="3" t="n">
        <v>45910</v>
      </c>
      <c r="C565" s="2" t="s">
        <v>41</v>
      </c>
      <c r="D565" s="2" t="s">
        <v>66</v>
      </c>
      <c r="E565" s="2" t="s">
        <v>18</v>
      </c>
      <c r="F565" s="4" t="str">
        <f aca="false">INDEX(Products!$B$2:$B$9,MATCH(E565,Products!$A$2:$A$9,0))</f>
        <v>Sensor Hub Pro</v>
      </c>
      <c r="G565" s="4" t="str">
        <f aca="false">INDEX(Products!$C$2:$C$9,MATCH(E565,Products!$A$2:$A$9,0))</f>
        <v>Hardware</v>
      </c>
      <c r="H565" s="5" t="n">
        <v>2</v>
      </c>
      <c r="I565" s="6" t="n">
        <f aca="false">INDEX(Products!$D$2:$D$9,MATCH(E565,Products!$A$2:$A$9,0))</f>
        <v>349</v>
      </c>
      <c r="J565" s="7" t="n">
        <v>0.15</v>
      </c>
      <c r="K565" s="8" t="n">
        <f aca="false">H565*I565*(1-J565)</f>
        <v>593.3</v>
      </c>
      <c r="L565" s="6" t="n">
        <f aca="false">H565*INDEX(Products!$E$2:$E$9,MATCH(E565,Products!$A$2:$A$9,0))</f>
        <v>402</v>
      </c>
      <c r="M565" s="8" t="n">
        <f aca="false">K565-L565</f>
        <v>191.3</v>
      </c>
      <c r="N565" s="2" t="s">
        <v>19</v>
      </c>
      <c r="O565" s="2" t="s">
        <v>52</v>
      </c>
    </row>
    <row r="566" customFormat="false" ht="15" hidden="false" customHeight="false" outlineLevel="0" collapsed="false">
      <c r="A566" s="2" t="s">
        <v>620</v>
      </c>
      <c r="B566" s="3" t="n">
        <v>45910</v>
      </c>
      <c r="C566" s="2" t="s">
        <v>16</v>
      </c>
      <c r="D566" s="2" t="s">
        <v>22</v>
      </c>
      <c r="E566" s="2" t="s">
        <v>32</v>
      </c>
      <c r="F566" s="4" t="str">
        <f aca="false">INDEX(Products!$B$2:$B$9,MATCH(E566,Products!$A$2:$A$9,0))</f>
        <v>Analytics Plus</v>
      </c>
      <c r="G566" s="4" t="str">
        <f aca="false">INDEX(Products!$C$2:$C$9,MATCH(E566,Products!$A$2:$A$9,0))</f>
        <v>Software</v>
      </c>
      <c r="H566" s="5" t="n">
        <v>1</v>
      </c>
      <c r="I566" s="6" t="n">
        <f aca="false">INDEX(Products!$D$2:$D$9,MATCH(E566,Products!$A$2:$A$9,0))</f>
        <v>290</v>
      </c>
      <c r="J566" s="7" t="n">
        <v>0</v>
      </c>
      <c r="K566" s="8" t="n">
        <f aca="false">H566*I566*(1-J566)</f>
        <v>290</v>
      </c>
      <c r="L566" s="6" t="n">
        <f aca="false">H566*INDEX(Products!$E$2:$E$9,MATCH(E566,Products!$A$2:$A$9,0))</f>
        <v>41</v>
      </c>
      <c r="M566" s="8" t="n">
        <f aca="false">K566-L566</f>
        <v>249</v>
      </c>
      <c r="N566" s="2" t="s">
        <v>28</v>
      </c>
      <c r="O566" s="2" t="s">
        <v>20</v>
      </c>
    </row>
    <row r="567" customFormat="false" ht="15" hidden="false" customHeight="false" outlineLevel="0" collapsed="false">
      <c r="A567" s="2" t="s">
        <v>621</v>
      </c>
      <c r="B567" s="3" t="n">
        <v>45910</v>
      </c>
      <c r="C567" s="2" t="s">
        <v>47</v>
      </c>
      <c r="D567" s="2" t="s">
        <v>48</v>
      </c>
      <c r="E567" s="2" t="s">
        <v>18</v>
      </c>
      <c r="F567" s="4" t="str">
        <f aca="false">INDEX(Products!$B$2:$B$9,MATCH(E567,Products!$A$2:$A$9,0))</f>
        <v>Sensor Hub Pro</v>
      </c>
      <c r="G567" s="4" t="str">
        <f aca="false">INDEX(Products!$C$2:$C$9,MATCH(E567,Products!$A$2:$A$9,0))</f>
        <v>Hardware</v>
      </c>
      <c r="H567" s="5" t="n">
        <v>20</v>
      </c>
      <c r="I567" s="6" t="n">
        <f aca="false">INDEX(Products!$D$2:$D$9,MATCH(E567,Products!$A$2:$A$9,0))</f>
        <v>349</v>
      </c>
      <c r="J567" s="7" t="n">
        <v>0.05</v>
      </c>
      <c r="K567" s="8" t="n">
        <f aca="false">H567*I567*(1-J567)</f>
        <v>6631</v>
      </c>
      <c r="L567" s="6" t="n">
        <f aca="false">H567*INDEX(Products!$E$2:$E$9,MATCH(E567,Products!$A$2:$A$9,0))</f>
        <v>4020</v>
      </c>
      <c r="M567" s="8" t="n">
        <f aca="false">K567-L567</f>
        <v>2611</v>
      </c>
      <c r="N567" s="2" t="s">
        <v>28</v>
      </c>
      <c r="O567" s="2" t="s">
        <v>50</v>
      </c>
    </row>
    <row r="568" customFormat="false" ht="15" hidden="false" customHeight="false" outlineLevel="0" collapsed="false">
      <c r="A568" s="2" t="s">
        <v>622</v>
      </c>
      <c r="B568" s="3" t="n">
        <v>45911</v>
      </c>
      <c r="C568" s="2" t="s">
        <v>30</v>
      </c>
      <c r="D568" s="2" t="s">
        <v>31</v>
      </c>
      <c r="E568" s="2" t="s">
        <v>49</v>
      </c>
      <c r="F568" s="4" t="str">
        <f aca="false">INDEX(Products!$B$2:$B$9,MATCH(E568,Products!$A$2:$A$9,0))</f>
        <v>Mounting Kit</v>
      </c>
      <c r="G568" s="4" t="str">
        <f aca="false">INDEX(Products!$C$2:$C$9,MATCH(E568,Products!$A$2:$A$9,0))</f>
        <v>Accessories</v>
      </c>
      <c r="H568" s="5" t="n">
        <v>2</v>
      </c>
      <c r="I568" s="6" t="n">
        <f aca="false">INDEX(Products!$D$2:$D$9,MATCH(E568,Products!$A$2:$A$9,0))</f>
        <v>39</v>
      </c>
      <c r="J568" s="7" t="n">
        <v>0</v>
      </c>
      <c r="K568" s="8" t="n">
        <f aca="false">H568*I568*(1-J568)</f>
        <v>78</v>
      </c>
      <c r="L568" s="6" t="n">
        <f aca="false">H568*INDEX(Products!$E$2:$E$9,MATCH(E568,Products!$A$2:$A$9,0))</f>
        <v>63</v>
      </c>
      <c r="M568" s="8" t="n">
        <f aca="false">K568-L568</f>
        <v>15</v>
      </c>
      <c r="N568" s="2" t="s">
        <v>28</v>
      </c>
      <c r="O568" s="2" t="s">
        <v>33</v>
      </c>
    </row>
    <row r="569" customFormat="false" ht="15" hidden="false" customHeight="false" outlineLevel="0" collapsed="false">
      <c r="A569" s="2" t="s">
        <v>623</v>
      </c>
      <c r="B569" s="3" t="n">
        <v>45911</v>
      </c>
      <c r="C569" s="2" t="s">
        <v>16</v>
      </c>
      <c r="D569" s="2" t="s">
        <v>25</v>
      </c>
      <c r="E569" s="2" t="s">
        <v>57</v>
      </c>
      <c r="F569" s="4" t="str">
        <f aca="false">INDEX(Products!$B$2:$B$9,MATCH(E569,Products!$A$2:$A$9,0))</f>
        <v>Edge Gateway</v>
      </c>
      <c r="G569" s="4" t="str">
        <f aca="false">INDEX(Products!$C$2:$C$9,MATCH(E569,Products!$A$2:$A$9,0))</f>
        <v>Hardware</v>
      </c>
      <c r="H569" s="5" t="n">
        <v>20</v>
      </c>
      <c r="I569" s="6" t="n">
        <f aca="false">INDEX(Products!$D$2:$D$9,MATCH(E569,Products!$A$2:$A$9,0))</f>
        <v>899</v>
      </c>
      <c r="J569" s="7" t="n">
        <v>0.15</v>
      </c>
      <c r="K569" s="8" t="n">
        <f aca="false">H569*I569*(1-J569)</f>
        <v>15283</v>
      </c>
      <c r="L569" s="6" t="n">
        <f aca="false">H569*INDEX(Products!$E$2:$E$9,MATCH(E569,Products!$A$2:$A$9,0))</f>
        <v>12240</v>
      </c>
      <c r="M569" s="8" t="n">
        <f aca="false">K569-L569</f>
        <v>3043</v>
      </c>
      <c r="N569" s="2" t="s">
        <v>19</v>
      </c>
      <c r="O569" s="2" t="s">
        <v>20</v>
      </c>
    </row>
    <row r="570" customFormat="false" ht="15" hidden="false" customHeight="false" outlineLevel="0" collapsed="false">
      <c r="A570" s="2" t="s">
        <v>624</v>
      </c>
      <c r="B570" s="3" t="n">
        <v>45911</v>
      </c>
      <c r="C570" s="2" t="s">
        <v>47</v>
      </c>
      <c r="D570" s="2" t="s">
        <v>55</v>
      </c>
      <c r="E570" s="2" t="s">
        <v>18</v>
      </c>
      <c r="F570" s="4" t="str">
        <f aca="false">INDEX(Products!$B$2:$B$9,MATCH(E570,Products!$A$2:$A$9,0))</f>
        <v>Sensor Hub Pro</v>
      </c>
      <c r="G570" s="4" t="str">
        <f aca="false">INDEX(Products!$C$2:$C$9,MATCH(E570,Products!$A$2:$A$9,0))</f>
        <v>Hardware</v>
      </c>
      <c r="H570" s="5" t="n">
        <v>10</v>
      </c>
      <c r="I570" s="6" t="n">
        <f aca="false">INDEX(Products!$D$2:$D$9,MATCH(E570,Products!$A$2:$A$9,0))</f>
        <v>349</v>
      </c>
      <c r="J570" s="7" t="n">
        <v>0.1</v>
      </c>
      <c r="K570" s="8" t="n">
        <f aca="false">H570*I570*(1-J570)</f>
        <v>3141</v>
      </c>
      <c r="L570" s="6" t="n">
        <f aca="false">H570*INDEX(Products!$E$2:$E$9,MATCH(E570,Products!$A$2:$A$9,0))</f>
        <v>2010</v>
      </c>
      <c r="M570" s="8" t="n">
        <f aca="false">K570-L570</f>
        <v>1131</v>
      </c>
      <c r="N570" s="2" t="s">
        <v>28</v>
      </c>
      <c r="O570" s="2" t="s">
        <v>50</v>
      </c>
    </row>
    <row r="571" customFormat="false" ht="15" hidden="false" customHeight="false" outlineLevel="0" collapsed="false">
      <c r="A571" s="2" t="s">
        <v>625</v>
      </c>
      <c r="B571" s="3" t="n">
        <v>45912</v>
      </c>
      <c r="C571" s="2" t="s">
        <v>47</v>
      </c>
      <c r="D571" s="2" t="s">
        <v>55</v>
      </c>
      <c r="E571" s="2" t="s">
        <v>18</v>
      </c>
      <c r="F571" s="4" t="str">
        <f aca="false">INDEX(Products!$B$2:$B$9,MATCH(E571,Products!$A$2:$A$9,0))</f>
        <v>Sensor Hub Pro</v>
      </c>
      <c r="G571" s="4" t="str">
        <f aca="false">INDEX(Products!$C$2:$C$9,MATCH(E571,Products!$A$2:$A$9,0))</f>
        <v>Hardware</v>
      </c>
      <c r="H571" s="5" t="n">
        <v>20</v>
      </c>
      <c r="I571" s="6" t="n">
        <f aca="false">INDEX(Products!$D$2:$D$9,MATCH(E571,Products!$A$2:$A$9,0))</f>
        <v>349</v>
      </c>
      <c r="J571" s="7" t="n">
        <v>0</v>
      </c>
      <c r="K571" s="8" t="n">
        <f aca="false">H571*I571*(1-J571)</f>
        <v>6980</v>
      </c>
      <c r="L571" s="6" t="n">
        <f aca="false">H571*INDEX(Products!$E$2:$E$9,MATCH(E571,Products!$A$2:$A$9,0))</f>
        <v>4020</v>
      </c>
      <c r="M571" s="8" t="n">
        <f aca="false">K571-L571</f>
        <v>2960</v>
      </c>
      <c r="N571" s="2" t="s">
        <v>28</v>
      </c>
      <c r="O571" s="2" t="s">
        <v>72</v>
      </c>
    </row>
    <row r="572" customFormat="false" ht="15" hidden="false" customHeight="false" outlineLevel="0" collapsed="false">
      <c r="A572" s="2" t="s">
        <v>626</v>
      </c>
      <c r="B572" s="3" t="n">
        <v>45912</v>
      </c>
      <c r="C572" s="2" t="s">
        <v>30</v>
      </c>
      <c r="D572" s="2" t="s">
        <v>128</v>
      </c>
      <c r="E572" s="2" t="s">
        <v>26</v>
      </c>
      <c r="F572" s="4" t="str">
        <f aca="false">INDEX(Products!$B$2:$B$9,MATCH(E572,Products!$A$2:$A$9,0))</f>
        <v>Analytics Basic</v>
      </c>
      <c r="G572" s="4" t="str">
        <f aca="false">INDEX(Products!$C$2:$C$9,MATCH(E572,Products!$A$2:$A$9,0))</f>
        <v>Software</v>
      </c>
      <c r="H572" s="5" t="n">
        <v>3</v>
      </c>
      <c r="I572" s="6" t="n">
        <f aca="false">INDEX(Products!$D$2:$D$9,MATCH(E572,Products!$A$2:$A$9,0))</f>
        <v>120</v>
      </c>
      <c r="J572" s="7" t="n">
        <v>0</v>
      </c>
      <c r="K572" s="8" t="n">
        <f aca="false">H572*I572*(1-J572)</f>
        <v>360</v>
      </c>
      <c r="L572" s="6" t="n">
        <f aca="false">H572*INDEX(Products!$E$2:$E$9,MATCH(E572,Products!$A$2:$A$9,0))</f>
        <v>54</v>
      </c>
      <c r="M572" s="8" t="n">
        <f aca="false">K572-L572</f>
        <v>306</v>
      </c>
      <c r="N572" s="2" t="s">
        <v>28</v>
      </c>
      <c r="O572" s="2" t="s">
        <v>33</v>
      </c>
    </row>
    <row r="573" customFormat="false" ht="15" hidden="false" customHeight="false" outlineLevel="0" collapsed="false">
      <c r="A573" s="2" t="s">
        <v>627</v>
      </c>
      <c r="B573" s="3" t="n">
        <v>45912</v>
      </c>
      <c r="C573" s="2" t="s">
        <v>47</v>
      </c>
      <c r="D573" s="2" t="s">
        <v>157</v>
      </c>
      <c r="E573" s="2" t="s">
        <v>49</v>
      </c>
      <c r="F573" s="4" t="str">
        <f aca="false">INDEX(Products!$B$2:$B$9,MATCH(E573,Products!$A$2:$A$9,0))</f>
        <v>Mounting Kit</v>
      </c>
      <c r="G573" s="4" t="str">
        <f aca="false">INDEX(Products!$C$2:$C$9,MATCH(E573,Products!$A$2:$A$9,0))</f>
        <v>Accessories</v>
      </c>
      <c r="H573" s="5" t="n">
        <v>8</v>
      </c>
      <c r="I573" s="6" t="n">
        <f aca="false">INDEX(Products!$D$2:$D$9,MATCH(E573,Products!$A$2:$A$9,0))</f>
        <v>39</v>
      </c>
      <c r="J573" s="7" t="n">
        <v>0.1</v>
      </c>
      <c r="K573" s="8" t="n">
        <f aca="false">H573*I573*(1-J573)</f>
        <v>280.8</v>
      </c>
      <c r="L573" s="6" t="n">
        <f aca="false">H573*INDEX(Products!$E$2:$E$9,MATCH(E573,Products!$A$2:$A$9,0))</f>
        <v>252</v>
      </c>
      <c r="M573" s="8" t="n">
        <f aca="false">K573-L573</f>
        <v>28.8</v>
      </c>
      <c r="N573" s="2" t="s">
        <v>19</v>
      </c>
      <c r="O573" s="2" t="s">
        <v>50</v>
      </c>
    </row>
    <row r="574" customFormat="false" ht="15" hidden="false" customHeight="false" outlineLevel="0" collapsed="false">
      <c r="A574" s="2" t="s">
        <v>628</v>
      </c>
      <c r="B574" s="3" t="n">
        <v>45912</v>
      </c>
      <c r="C574" s="2" t="s">
        <v>16</v>
      </c>
      <c r="D574" s="2" t="s">
        <v>25</v>
      </c>
      <c r="E574" s="2" t="s">
        <v>61</v>
      </c>
      <c r="F574" s="4" t="str">
        <f aca="false">INDEX(Products!$B$2:$B$9,MATCH(E574,Products!$A$2:$A$9,0))</f>
        <v>Install Service</v>
      </c>
      <c r="G574" s="4" t="str">
        <f aca="false">INDEX(Products!$C$2:$C$9,MATCH(E574,Products!$A$2:$A$9,0))</f>
        <v>Services</v>
      </c>
      <c r="H574" s="5" t="n">
        <v>5</v>
      </c>
      <c r="I574" s="6" t="n">
        <f aca="false">INDEX(Products!$D$2:$D$9,MATCH(E574,Products!$A$2:$A$9,0))</f>
        <v>450</v>
      </c>
      <c r="J574" s="7" t="n">
        <v>0</v>
      </c>
      <c r="K574" s="8" t="n">
        <f aca="false">H574*I574*(1-J574)</f>
        <v>2250</v>
      </c>
      <c r="L574" s="6" t="n">
        <f aca="false">H574*INDEX(Products!$E$2:$E$9,MATCH(E574,Products!$A$2:$A$9,0))</f>
        <v>1550</v>
      </c>
      <c r="M574" s="8" t="n">
        <f aca="false">K574-L574</f>
        <v>700</v>
      </c>
      <c r="N574" s="2" t="s">
        <v>38</v>
      </c>
      <c r="O574" s="2" t="s">
        <v>36</v>
      </c>
    </row>
    <row r="575" customFormat="false" ht="15" hidden="false" customHeight="false" outlineLevel="0" collapsed="false">
      <c r="A575" s="2" t="s">
        <v>629</v>
      </c>
      <c r="B575" s="3" t="n">
        <v>45915</v>
      </c>
      <c r="C575" s="2" t="s">
        <v>30</v>
      </c>
      <c r="D575" s="2" t="s">
        <v>77</v>
      </c>
      <c r="E575" s="2" t="s">
        <v>32</v>
      </c>
      <c r="F575" s="4" t="str">
        <f aca="false">INDEX(Products!$B$2:$B$9,MATCH(E575,Products!$A$2:$A$9,0))</f>
        <v>Analytics Plus</v>
      </c>
      <c r="G575" s="4" t="str">
        <f aca="false">INDEX(Products!$C$2:$C$9,MATCH(E575,Products!$A$2:$A$9,0))</f>
        <v>Software</v>
      </c>
      <c r="H575" s="5" t="n">
        <v>1</v>
      </c>
      <c r="I575" s="6" t="n">
        <f aca="false">INDEX(Products!$D$2:$D$9,MATCH(E575,Products!$A$2:$A$9,0))</f>
        <v>290</v>
      </c>
      <c r="J575" s="7" t="n">
        <v>0.1</v>
      </c>
      <c r="K575" s="8" t="n">
        <f aca="false">H575*I575*(1-J575)</f>
        <v>261</v>
      </c>
      <c r="L575" s="6" t="n">
        <f aca="false">H575*INDEX(Products!$E$2:$E$9,MATCH(E575,Products!$A$2:$A$9,0))</f>
        <v>41</v>
      </c>
      <c r="M575" s="8" t="n">
        <f aca="false">K575-L575</f>
        <v>220</v>
      </c>
      <c r="N575" s="2" t="s">
        <v>19</v>
      </c>
      <c r="O575" s="2" t="s">
        <v>64</v>
      </c>
    </row>
    <row r="576" customFormat="false" ht="15" hidden="false" customHeight="false" outlineLevel="0" collapsed="false">
      <c r="A576" s="2" t="s">
        <v>630</v>
      </c>
      <c r="B576" s="3" t="n">
        <v>45915</v>
      </c>
      <c r="C576" s="2" t="s">
        <v>16</v>
      </c>
      <c r="D576" s="2" t="s">
        <v>25</v>
      </c>
      <c r="E576" s="2" t="s">
        <v>49</v>
      </c>
      <c r="F576" s="4" t="str">
        <f aca="false">INDEX(Products!$B$2:$B$9,MATCH(E576,Products!$A$2:$A$9,0))</f>
        <v>Mounting Kit</v>
      </c>
      <c r="G576" s="4" t="str">
        <f aca="false">INDEX(Products!$C$2:$C$9,MATCH(E576,Products!$A$2:$A$9,0))</f>
        <v>Accessories</v>
      </c>
      <c r="H576" s="5" t="n">
        <v>20</v>
      </c>
      <c r="I576" s="6" t="n">
        <f aca="false">INDEX(Products!$D$2:$D$9,MATCH(E576,Products!$A$2:$A$9,0))</f>
        <v>39</v>
      </c>
      <c r="J576" s="7" t="n">
        <v>0</v>
      </c>
      <c r="K576" s="8" t="n">
        <f aca="false">H576*I576*(1-J576)</f>
        <v>780</v>
      </c>
      <c r="L576" s="6" t="n">
        <f aca="false">H576*INDEX(Products!$E$2:$E$9,MATCH(E576,Products!$A$2:$A$9,0))</f>
        <v>630</v>
      </c>
      <c r="M576" s="8" t="n">
        <f aca="false">K576-L576</f>
        <v>150</v>
      </c>
      <c r="N576" s="2" t="s">
        <v>38</v>
      </c>
      <c r="O576" s="2" t="s">
        <v>20</v>
      </c>
    </row>
    <row r="577" customFormat="false" ht="15" hidden="false" customHeight="false" outlineLevel="0" collapsed="false">
      <c r="A577" s="2" t="s">
        <v>631</v>
      </c>
      <c r="B577" s="3" t="n">
        <v>45915</v>
      </c>
      <c r="C577" s="2" t="s">
        <v>16</v>
      </c>
      <c r="D577" s="2" t="s">
        <v>22</v>
      </c>
      <c r="E577" s="2" t="s">
        <v>61</v>
      </c>
      <c r="F577" s="4" t="str">
        <f aca="false">INDEX(Products!$B$2:$B$9,MATCH(E577,Products!$A$2:$A$9,0))</f>
        <v>Install Service</v>
      </c>
      <c r="G577" s="4" t="str">
        <f aca="false">INDEX(Products!$C$2:$C$9,MATCH(E577,Products!$A$2:$A$9,0))</f>
        <v>Services</v>
      </c>
      <c r="H577" s="5" t="n">
        <v>1</v>
      </c>
      <c r="I577" s="6" t="n">
        <f aca="false">INDEX(Products!$D$2:$D$9,MATCH(E577,Products!$A$2:$A$9,0))</f>
        <v>450</v>
      </c>
      <c r="J577" s="7" t="n">
        <v>0</v>
      </c>
      <c r="K577" s="8" t="n">
        <f aca="false">H577*I577*(1-J577)</f>
        <v>450</v>
      </c>
      <c r="L577" s="6" t="n">
        <f aca="false">H577*INDEX(Products!$E$2:$E$9,MATCH(E577,Products!$A$2:$A$9,0))</f>
        <v>310</v>
      </c>
      <c r="M577" s="8" t="n">
        <f aca="false">K577-L577</f>
        <v>140</v>
      </c>
      <c r="N577" s="2" t="s">
        <v>28</v>
      </c>
      <c r="O577" s="2" t="s">
        <v>36</v>
      </c>
    </row>
    <row r="578" customFormat="false" ht="15" hidden="false" customHeight="false" outlineLevel="0" collapsed="false">
      <c r="A578" s="2" t="s">
        <v>632</v>
      </c>
      <c r="B578" s="3" t="n">
        <v>45915</v>
      </c>
      <c r="C578" s="2" t="s">
        <v>41</v>
      </c>
      <c r="D578" s="2" t="s">
        <v>42</v>
      </c>
      <c r="E578" s="2" t="s">
        <v>26</v>
      </c>
      <c r="F578" s="4" t="str">
        <f aca="false">INDEX(Products!$B$2:$B$9,MATCH(E578,Products!$A$2:$A$9,0))</f>
        <v>Analytics Basic</v>
      </c>
      <c r="G578" s="4" t="str">
        <f aca="false">INDEX(Products!$C$2:$C$9,MATCH(E578,Products!$A$2:$A$9,0))</f>
        <v>Software</v>
      </c>
      <c r="H578" s="5" t="n">
        <v>1</v>
      </c>
      <c r="I578" s="6" t="n">
        <f aca="false">INDEX(Products!$D$2:$D$9,MATCH(E578,Products!$A$2:$A$9,0))</f>
        <v>120</v>
      </c>
      <c r="J578" s="7" t="n">
        <v>0.05</v>
      </c>
      <c r="K578" s="8" t="n">
        <f aca="false">H578*I578*(1-J578)</f>
        <v>114</v>
      </c>
      <c r="L578" s="6" t="n">
        <f aca="false">H578*INDEX(Products!$E$2:$E$9,MATCH(E578,Products!$A$2:$A$9,0))</f>
        <v>18</v>
      </c>
      <c r="M578" s="8" t="n">
        <f aca="false">K578-L578</f>
        <v>96</v>
      </c>
      <c r="N578" s="2" t="s">
        <v>28</v>
      </c>
      <c r="O578" s="2" t="s">
        <v>43</v>
      </c>
    </row>
    <row r="579" customFormat="false" ht="15" hidden="false" customHeight="false" outlineLevel="0" collapsed="false">
      <c r="A579" s="2" t="s">
        <v>633</v>
      </c>
      <c r="B579" s="3" t="n">
        <v>45916</v>
      </c>
      <c r="C579" s="2" t="s">
        <v>41</v>
      </c>
      <c r="D579" s="2" t="s">
        <v>42</v>
      </c>
      <c r="E579" s="2" t="s">
        <v>26</v>
      </c>
      <c r="F579" s="4" t="str">
        <f aca="false">INDEX(Products!$B$2:$B$9,MATCH(E579,Products!$A$2:$A$9,0))</f>
        <v>Analytics Basic</v>
      </c>
      <c r="G579" s="4" t="str">
        <f aca="false">INDEX(Products!$C$2:$C$9,MATCH(E579,Products!$A$2:$A$9,0))</f>
        <v>Software</v>
      </c>
      <c r="H579" s="5" t="n">
        <v>1</v>
      </c>
      <c r="I579" s="6" t="n">
        <f aca="false">INDEX(Products!$D$2:$D$9,MATCH(E579,Products!$A$2:$A$9,0))</f>
        <v>120</v>
      </c>
      <c r="J579" s="7" t="n">
        <v>0.1</v>
      </c>
      <c r="K579" s="8" t="n">
        <f aca="false">H579*I579*(1-J579)</f>
        <v>108</v>
      </c>
      <c r="L579" s="6" t="n">
        <f aca="false">H579*INDEX(Products!$E$2:$E$9,MATCH(E579,Products!$A$2:$A$9,0))</f>
        <v>18</v>
      </c>
      <c r="M579" s="8" t="n">
        <f aca="false">K579-L579</f>
        <v>90</v>
      </c>
      <c r="N579" s="2" t="s">
        <v>19</v>
      </c>
      <c r="O579" s="2" t="s">
        <v>52</v>
      </c>
    </row>
    <row r="580" customFormat="false" ht="15" hidden="false" customHeight="false" outlineLevel="0" collapsed="false">
      <c r="A580" s="2" t="s">
        <v>634</v>
      </c>
      <c r="B580" s="3" t="n">
        <v>45916</v>
      </c>
      <c r="C580" s="2" t="s">
        <v>41</v>
      </c>
      <c r="D580" s="2" t="s">
        <v>66</v>
      </c>
      <c r="E580" s="2" t="s">
        <v>57</v>
      </c>
      <c r="F580" s="4" t="str">
        <f aca="false">INDEX(Products!$B$2:$B$9,MATCH(E580,Products!$A$2:$A$9,0))</f>
        <v>Edge Gateway</v>
      </c>
      <c r="G580" s="4" t="str">
        <f aca="false">INDEX(Products!$C$2:$C$9,MATCH(E580,Products!$A$2:$A$9,0))</f>
        <v>Hardware</v>
      </c>
      <c r="H580" s="5" t="n">
        <v>20</v>
      </c>
      <c r="I580" s="6" t="n">
        <f aca="false">INDEX(Products!$D$2:$D$9,MATCH(E580,Products!$A$2:$A$9,0))</f>
        <v>899</v>
      </c>
      <c r="J580" s="7" t="n">
        <v>0</v>
      </c>
      <c r="K580" s="8" t="n">
        <f aca="false">H580*I580*(1-J580)</f>
        <v>17980</v>
      </c>
      <c r="L580" s="6" t="n">
        <f aca="false">H580*INDEX(Products!$E$2:$E$9,MATCH(E580,Products!$A$2:$A$9,0))</f>
        <v>12240</v>
      </c>
      <c r="M580" s="8" t="n">
        <f aca="false">K580-L580</f>
        <v>5740</v>
      </c>
      <c r="N580" s="2" t="s">
        <v>38</v>
      </c>
      <c r="O580" s="2" t="s">
        <v>52</v>
      </c>
    </row>
    <row r="581" customFormat="false" ht="15" hidden="false" customHeight="false" outlineLevel="0" collapsed="false">
      <c r="A581" s="2" t="s">
        <v>635</v>
      </c>
      <c r="B581" s="3" t="n">
        <v>45916</v>
      </c>
      <c r="C581" s="2" t="s">
        <v>59</v>
      </c>
      <c r="D581" s="2" t="s">
        <v>91</v>
      </c>
      <c r="E581" s="2" t="s">
        <v>18</v>
      </c>
      <c r="F581" s="4" t="str">
        <f aca="false">INDEX(Products!$B$2:$B$9,MATCH(E581,Products!$A$2:$A$9,0))</f>
        <v>Sensor Hub Pro</v>
      </c>
      <c r="G581" s="4" t="str">
        <f aca="false">INDEX(Products!$C$2:$C$9,MATCH(E581,Products!$A$2:$A$9,0))</f>
        <v>Hardware</v>
      </c>
      <c r="H581" s="5" t="n">
        <v>5</v>
      </c>
      <c r="I581" s="6" t="n">
        <f aca="false">INDEX(Products!$D$2:$D$9,MATCH(E581,Products!$A$2:$A$9,0))</f>
        <v>349</v>
      </c>
      <c r="J581" s="7" t="n">
        <v>0.15</v>
      </c>
      <c r="K581" s="8" t="n">
        <f aca="false">H581*I581*(1-J581)</f>
        <v>1483.25</v>
      </c>
      <c r="L581" s="6" t="n">
        <f aca="false">H581*INDEX(Products!$E$2:$E$9,MATCH(E581,Products!$A$2:$A$9,0))</f>
        <v>1005</v>
      </c>
      <c r="M581" s="8" t="n">
        <f aca="false">K581-L581</f>
        <v>478.25</v>
      </c>
      <c r="N581" s="2" t="s">
        <v>28</v>
      </c>
      <c r="O581" s="2" t="s">
        <v>62</v>
      </c>
    </row>
    <row r="582" customFormat="false" ht="15" hidden="false" customHeight="false" outlineLevel="0" collapsed="false">
      <c r="A582" s="2" t="s">
        <v>636</v>
      </c>
      <c r="B582" s="3" t="n">
        <v>45916</v>
      </c>
      <c r="C582" s="2" t="s">
        <v>30</v>
      </c>
      <c r="D582" s="2" t="s">
        <v>77</v>
      </c>
      <c r="E582" s="2" t="s">
        <v>49</v>
      </c>
      <c r="F582" s="4" t="str">
        <f aca="false">INDEX(Products!$B$2:$B$9,MATCH(E582,Products!$A$2:$A$9,0))</f>
        <v>Mounting Kit</v>
      </c>
      <c r="G582" s="4" t="str">
        <f aca="false">INDEX(Products!$C$2:$C$9,MATCH(E582,Products!$A$2:$A$9,0))</f>
        <v>Accessories</v>
      </c>
      <c r="H582" s="5" t="n">
        <v>1</v>
      </c>
      <c r="I582" s="6" t="n">
        <f aca="false">INDEX(Products!$D$2:$D$9,MATCH(E582,Products!$A$2:$A$9,0))</f>
        <v>39</v>
      </c>
      <c r="J582" s="7" t="n">
        <v>0.1</v>
      </c>
      <c r="K582" s="8" t="n">
        <f aca="false">H582*I582*(1-J582)</f>
        <v>35.1</v>
      </c>
      <c r="L582" s="6" t="n">
        <f aca="false">H582*INDEX(Products!$E$2:$E$9,MATCH(E582,Products!$A$2:$A$9,0))</f>
        <v>31.5</v>
      </c>
      <c r="M582" s="8" t="n">
        <f aca="false">K582-L582</f>
        <v>3.6</v>
      </c>
      <c r="N582" s="2" t="s">
        <v>19</v>
      </c>
      <c r="O582" s="2" t="s">
        <v>64</v>
      </c>
    </row>
    <row r="583" customFormat="false" ht="15" hidden="false" customHeight="false" outlineLevel="0" collapsed="false">
      <c r="A583" s="2" t="s">
        <v>637</v>
      </c>
      <c r="B583" s="3" t="n">
        <v>45917</v>
      </c>
      <c r="C583" s="2" t="s">
        <v>16</v>
      </c>
      <c r="D583" s="2" t="s">
        <v>22</v>
      </c>
      <c r="E583" s="2" t="s">
        <v>26</v>
      </c>
      <c r="F583" s="4" t="str">
        <f aca="false">INDEX(Products!$B$2:$B$9,MATCH(E583,Products!$A$2:$A$9,0))</f>
        <v>Analytics Basic</v>
      </c>
      <c r="G583" s="4" t="str">
        <f aca="false">INDEX(Products!$C$2:$C$9,MATCH(E583,Products!$A$2:$A$9,0))</f>
        <v>Software</v>
      </c>
      <c r="H583" s="5" t="n">
        <v>1</v>
      </c>
      <c r="I583" s="6" t="n">
        <f aca="false">INDEX(Products!$D$2:$D$9,MATCH(E583,Products!$A$2:$A$9,0))</f>
        <v>120</v>
      </c>
      <c r="J583" s="7" t="n">
        <v>0</v>
      </c>
      <c r="K583" s="8" t="n">
        <f aca="false">H583*I583*(1-J583)</f>
        <v>120</v>
      </c>
      <c r="L583" s="6" t="n">
        <f aca="false">H583*INDEX(Products!$E$2:$E$9,MATCH(E583,Products!$A$2:$A$9,0))</f>
        <v>18</v>
      </c>
      <c r="M583" s="8" t="n">
        <f aca="false">K583-L583</f>
        <v>102</v>
      </c>
      <c r="N583" s="2" t="s">
        <v>28</v>
      </c>
      <c r="O583" s="2" t="s">
        <v>20</v>
      </c>
    </row>
    <row r="584" customFormat="false" ht="15" hidden="false" customHeight="false" outlineLevel="0" collapsed="false">
      <c r="A584" s="2" t="s">
        <v>638</v>
      </c>
      <c r="B584" s="3" t="n">
        <v>45917</v>
      </c>
      <c r="C584" s="2" t="s">
        <v>41</v>
      </c>
      <c r="D584" s="2" t="s">
        <v>66</v>
      </c>
      <c r="E584" s="2" t="s">
        <v>68</v>
      </c>
      <c r="F584" s="4" t="str">
        <f aca="false">INDEX(Products!$B$2:$B$9,MATCH(E584,Products!$A$2:$A$9,0))</f>
        <v>Premium Support</v>
      </c>
      <c r="G584" s="4" t="str">
        <f aca="false">INDEX(Products!$C$2:$C$9,MATCH(E584,Products!$A$2:$A$9,0))</f>
        <v>Services</v>
      </c>
      <c r="H584" s="5" t="n">
        <v>5</v>
      </c>
      <c r="I584" s="6" t="n">
        <f aca="false">INDEX(Products!$D$2:$D$9,MATCH(E584,Products!$A$2:$A$9,0))</f>
        <v>600</v>
      </c>
      <c r="J584" s="7" t="n">
        <v>0.15</v>
      </c>
      <c r="K584" s="8" t="n">
        <f aca="false">H584*I584*(1-J584)</f>
        <v>2550</v>
      </c>
      <c r="L584" s="6" t="n">
        <f aca="false">H584*INDEX(Products!$E$2:$E$9,MATCH(E584,Products!$A$2:$A$9,0))</f>
        <v>1975</v>
      </c>
      <c r="M584" s="8" t="n">
        <f aca="false">K584-L584</f>
        <v>575</v>
      </c>
      <c r="N584" s="2" t="s">
        <v>28</v>
      </c>
      <c r="O584" s="2" t="s">
        <v>43</v>
      </c>
    </row>
    <row r="585" customFormat="false" ht="15" hidden="false" customHeight="false" outlineLevel="0" collapsed="false">
      <c r="A585" s="2" t="s">
        <v>639</v>
      </c>
      <c r="B585" s="3" t="n">
        <v>45917</v>
      </c>
      <c r="C585" s="2" t="s">
        <v>47</v>
      </c>
      <c r="D585" s="2" t="s">
        <v>71</v>
      </c>
      <c r="E585" s="2" t="s">
        <v>26</v>
      </c>
      <c r="F585" s="4" t="str">
        <f aca="false">INDEX(Products!$B$2:$B$9,MATCH(E585,Products!$A$2:$A$9,0))</f>
        <v>Analytics Basic</v>
      </c>
      <c r="G585" s="4" t="str">
        <f aca="false">INDEX(Products!$C$2:$C$9,MATCH(E585,Products!$A$2:$A$9,0))</f>
        <v>Software</v>
      </c>
      <c r="H585" s="5" t="n">
        <v>1</v>
      </c>
      <c r="I585" s="6" t="n">
        <f aca="false">INDEX(Products!$D$2:$D$9,MATCH(E585,Products!$A$2:$A$9,0))</f>
        <v>120</v>
      </c>
      <c r="J585" s="7" t="n">
        <v>0.2</v>
      </c>
      <c r="K585" s="8" t="n">
        <f aca="false">H585*I585*(1-J585)</f>
        <v>96</v>
      </c>
      <c r="L585" s="6" t="n">
        <f aca="false">H585*INDEX(Products!$E$2:$E$9,MATCH(E585,Products!$A$2:$A$9,0))</f>
        <v>18</v>
      </c>
      <c r="M585" s="8" t="n">
        <f aca="false">K585-L585</f>
        <v>78</v>
      </c>
      <c r="N585" s="2" t="s">
        <v>19</v>
      </c>
      <c r="O585" s="2" t="s">
        <v>72</v>
      </c>
    </row>
    <row r="586" customFormat="false" ht="15" hidden="false" customHeight="false" outlineLevel="0" collapsed="false">
      <c r="A586" s="2" t="s">
        <v>640</v>
      </c>
      <c r="B586" s="3" t="n">
        <v>45918</v>
      </c>
      <c r="C586" s="2" t="s">
        <v>41</v>
      </c>
      <c r="D586" s="2" t="s">
        <v>42</v>
      </c>
      <c r="E586" s="2" t="s">
        <v>23</v>
      </c>
      <c r="F586" s="4" t="str">
        <f aca="false">INDEX(Products!$B$2:$B$9,MATCH(E586,Products!$A$2:$A$9,0))</f>
        <v>Sensor Hub S</v>
      </c>
      <c r="G586" s="4" t="str">
        <f aca="false">INDEX(Products!$C$2:$C$9,MATCH(E586,Products!$A$2:$A$9,0))</f>
        <v>Hardware</v>
      </c>
      <c r="H586" s="5" t="n">
        <v>10</v>
      </c>
      <c r="I586" s="6" t="n">
        <f aca="false">INDEX(Products!$D$2:$D$9,MATCH(E586,Products!$A$2:$A$9,0))</f>
        <v>189</v>
      </c>
      <c r="J586" s="7" t="n">
        <v>0.05</v>
      </c>
      <c r="K586" s="8" t="n">
        <f aca="false">H586*I586*(1-J586)</f>
        <v>1795.5</v>
      </c>
      <c r="L586" s="6" t="n">
        <f aca="false">H586*INDEX(Products!$E$2:$E$9,MATCH(E586,Products!$A$2:$A$9,0))</f>
        <v>980</v>
      </c>
      <c r="M586" s="8" t="n">
        <f aca="false">K586-L586</f>
        <v>815.5</v>
      </c>
      <c r="N586" s="2" t="s">
        <v>28</v>
      </c>
      <c r="O586" s="2" t="s">
        <v>43</v>
      </c>
    </row>
    <row r="587" customFormat="false" ht="15" hidden="false" customHeight="false" outlineLevel="0" collapsed="false">
      <c r="A587" s="2" t="s">
        <v>641</v>
      </c>
      <c r="B587" s="3" t="n">
        <v>45918</v>
      </c>
      <c r="C587" s="2" t="s">
        <v>16</v>
      </c>
      <c r="D587" s="2" t="s">
        <v>17</v>
      </c>
      <c r="E587" s="2" t="s">
        <v>49</v>
      </c>
      <c r="F587" s="4" t="str">
        <f aca="false">INDEX(Products!$B$2:$B$9,MATCH(E587,Products!$A$2:$A$9,0))</f>
        <v>Mounting Kit</v>
      </c>
      <c r="G587" s="4" t="str">
        <f aca="false">INDEX(Products!$C$2:$C$9,MATCH(E587,Products!$A$2:$A$9,0))</f>
        <v>Accessories</v>
      </c>
      <c r="H587" s="5" t="n">
        <v>10</v>
      </c>
      <c r="I587" s="6" t="n">
        <f aca="false">INDEX(Products!$D$2:$D$9,MATCH(E587,Products!$A$2:$A$9,0))</f>
        <v>39</v>
      </c>
      <c r="J587" s="7" t="n">
        <v>0.05</v>
      </c>
      <c r="K587" s="8" t="n">
        <f aca="false">H587*I587*(1-J587)</f>
        <v>370.5</v>
      </c>
      <c r="L587" s="6" t="n">
        <f aca="false">H587*INDEX(Products!$E$2:$E$9,MATCH(E587,Products!$A$2:$A$9,0))</f>
        <v>315</v>
      </c>
      <c r="M587" s="8" t="n">
        <f aca="false">K587-L587</f>
        <v>55.5</v>
      </c>
      <c r="N587" s="2" t="s">
        <v>38</v>
      </c>
      <c r="O587" s="2" t="s">
        <v>20</v>
      </c>
    </row>
    <row r="588" customFormat="false" ht="15" hidden="false" customHeight="false" outlineLevel="0" collapsed="false">
      <c r="A588" s="2" t="s">
        <v>642</v>
      </c>
      <c r="B588" s="3" t="n">
        <v>45918</v>
      </c>
      <c r="C588" s="2" t="s">
        <v>59</v>
      </c>
      <c r="D588" s="2" t="s">
        <v>91</v>
      </c>
      <c r="E588" s="2" t="s">
        <v>18</v>
      </c>
      <c r="F588" s="4" t="str">
        <f aca="false">INDEX(Products!$B$2:$B$9,MATCH(E588,Products!$A$2:$A$9,0))</f>
        <v>Sensor Hub Pro</v>
      </c>
      <c r="G588" s="4" t="str">
        <f aca="false">INDEX(Products!$C$2:$C$9,MATCH(E588,Products!$A$2:$A$9,0))</f>
        <v>Hardware</v>
      </c>
      <c r="H588" s="5" t="n">
        <v>12</v>
      </c>
      <c r="I588" s="6" t="n">
        <f aca="false">INDEX(Products!$D$2:$D$9,MATCH(E588,Products!$A$2:$A$9,0))</f>
        <v>349</v>
      </c>
      <c r="J588" s="7" t="n">
        <v>0.15</v>
      </c>
      <c r="K588" s="8" t="n">
        <f aca="false">H588*I588*(1-J588)</f>
        <v>3559.8</v>
      </c>
      <c r="L588" s="6" t="n">
        <f aca="false">H588*INDEX(Products!$E$2:$E$9,MATCH(E588,Products!$A$2:$A$9,0))</f>
        <v>2412</v>
      </c>
      <c r="M588" s="8" t="n">
        <f aca="false">K588-L588</f>
        <v>1147.8</v>
      </c>
      <c r="N588" s="2" t="s">
        <v>38</v>
      </c>
      <c r="O588" s="2" t="s">
        <v>62</v>
      </c>
    </row>
    <row r="589" customFormat="false" ht="15" hidden="false" customHeight="false" outlineLevel="0" collapsed="false">
      <c r="A589" s="2" t="s">
        <v>643</v>
      </c>
      <c r="B589" s="3" t="n">
        <v>45918</v>
      </c>
      <c r="C589" s="2" t="s">
        <v>16</v>
      </c>
      <c r="D589" s="2" t="s">
        <v>22</v>
      </c>
      <c r="E589" s="2" t="s">
        <v>26</v>
      </c>
      <c r="F589" s="4" t="str">
        <f aca="false">INDEX(Products!$B$2:$B$9,MATCH(E589,Products!$A$2:$A$9,0))</f>
        <v>Analytics Basic</v>
      </c>
      <c r="G589" s="4" t="str">
        <f aca="false">INDEX(Products!$C$2:$C$9,MATCH(E589,Products!$A$2:$A$9,0))</f>
        <v>Software</v>
      </c>
      <c r="H589" s="5" t="n">
        <v>1</v>
      </c>
      <c r="I589" s="6" t="n">
        <f aca="false">INDEX(Products!$D$2:$D$9,MATCH(E589,Products!$A$2:$A$9,0))</f>
        <v>120</v>
      </c>
      <c r="J589" s="7" t="n">
        <v>0.25</v>
      </c>
      <c r="K589" s="8" t="n">
        <f aca="false">H589*I589*(1-J589)</f>
        <v>90</v>
      </c>
      <c r="L589" s="6" t="n">
        <f aca="false">H589*INDEX(Products!$E$2:$E$9,MATCH(E589,Products!$A$2:$A$9,0))</f>
        <v>18</v>
      </c>
      <c r="M589" s="8" t="n">
        <f aca="false">K589-L589</f>
        <v>72</v>
      </c>
      <c r="N589" s="2" t="s">
        <v>19</v>
      </c>
      <c r="O589" s="2" t="s">
        <v>20</v>
      </c>
    </row>
    <row r="590" customFormat="false" ht="15" hidden="false" customHeight="false" outlineLevel="0" collapsed="false">
      <c r="A590" s="2" t="s">
        <v>644</v>
      </c>
      <c r="B590" s="3" t="n">
        <v>45919</v>
      </c>
      <c r="C590" s="2" t="s">
        <v>16</v>
      </c>
      <c r="D590" s="2" t="s">
        <v>22</v>
      </c>
      <c r="E590" s="2" t="s">
        <v>32</v>
      </c>
      <c r="F590" s="4" t="str">
        <f aca="false">INDEX(Products!$B$2:$B$9,MATCH(E590,Products!$A$2:$A$9,0))</f>
        <v>Analytics Plus</v>
      </c>
      <c r="G590" s="4" t="str">
        <f aca="false">INDEX(Products!$C$2:$C$9,MATCH(E590,Products!$A$2:$A$9,0))</f>
        <v>Software</v>
      </c>
      <c r="H590" s="5" t="n">
        <v>2</v>
      </c>
      <c r="I590" s="6" t="n">
        <f aca="false">INDEX(Products!$D$2:$D$9,MATCH(E590,Products!$A$2:$A$9,0))</f>
        <v>290</v>
      </c>
      <c r="J590" s="7" t="n">
        <v>0.1</v>
      </c>
      <c r="K590" s="8" t="n">
        <f aca="false">H590*I590*(1-J590)</f>
        <v>522</v>
      </c>
      <c r="L590" s="6" t="n">
        <f aca="false">H590*INDEX(Products!$E$2:$E$9,MATCH(E590,Products!$A$2:$A$9,0))</f>
        <v>82</v>
      </c>
      <c r="M590" s="8" t="n">
        <f aca="false">K590-L590</f>
        <v>440</v>
      </c>
      <c r="N590" s="2" t="s">
        <v>19</v>
      </c>
      <c r="O590" s="2" t="s">
        <v>20</v>
      </c>
    </row>
    <row r="591" customFormat="false" ht="15" hidden="false" customHeight="false" outlineLevel="0" collapsed="false">
      <c r="A591" s="2" t="s">
        <v>645</v>
      </c>
      <c r="B591" s="3" t="n">
        <v>45919</v>
      </c>
      <c r="C591" s="2" t="s">
        <v>47</v>
      </c>
      <c r="D591" s="2" t="s">
        <v>71</v>
      </c>
      <c r="E591" s="2" t="s">
        <v>23</v>
      </c>
      <c r="F591" s="4" t="str">
        <f aca="false">INDEX(Products!$B$2:$B$9,MATCH(E591,Products!$A$2:$A$9,0))</f>
        <v>Sensor Hub S</v>
      </c>
      <c r="G591" s="4" t="str">
        <f aca="false">INDEX(Products!$C$2:$C$9,MATCH(E591,Products!$A$2:$A$9,0))</f>
        <v>Hardware</v>
      </c>
      <c r="H591" s="5" t="n">
        <v>2</v>
      </c>
      <c r="I591" s="6" t="n">
        <f aca="false">INDEX(Products!$D$2:$D$9,MATCH(E591,Products!$A$2:$A$9,0))</f>
        <v>189</v>
      </c>
      <c r="J591" s="7" t="n">
        <v>0.15</v>
      </c>
      <c r="K591" s="8" t="n">
        <f aca="false">H591*I591*(1-J591)</f>
        <v>321.3</v>
      </c>
      <c r="L591" s="6" t="n">
        <f aca="false">H591*INDEX(Products!$E$2:$E$9,MATCH(E591,Products!$A$2:$A$9,0))</f>
        <v>196</v>
      </c>
      <c r="M591" s="8" t="n">
        <f aca="false">K591-L591</f>
        <v>125.3</v>
      </c>
      <c r="N591" s="2" t="s">
        <v>19</v>
      </c>
      <c r="O591" s="2" t="s">
        <v>72</v>
      </c>
    </row>
    <row r="592" customFormat="false" ht="15" hidden="false" customHeight="false" outlineLevel="0" collapsed="false">
      <c r="A592" s="2" t="s">
        <v>646</v>
      </c>
      <c r="B592" s="3" t="n">
        <v>45919</v>
      </c>
      <c r="C592" s="2" t="s">
        <v>41</v>
      </c>
      <c r="D592" s="2" t="s">
        <v>42</v>
      </c>
      <c r="E592" s="2" t="s">
        <v>23</v>
      </c>
      <c r="F592" s="4" t="str">
        <f aca="false">INDEX(Products!$B$2:$B$9,MATCH(E592,Products!$A$2:$A$9,0))</f>
        <v>Sensor Hub S</v>
      </c>
      <c r="G592" s="4" t="str">
        <f aca="false">INDEX(Products!$C$2:$C$9,MATCH(E592,Products!$A$2:$A$9,0))</f>
        <v>Hardware</v>
      </c>
      <c r="H592" s="5" t="n">
        <v>12</v>
      </c>
      <c r="I592" s="6" t="n">
        <f aca="false">INDEX(Products!$D$2:$D$9,MATCH(E592,Products!$A$2:$A$9,0))</f>
        <v>189</v>
      </c>
      <c r="J592" s="7" t="n">
        <v>0.25</v>
      </c>
      <c r="K592" s="8" t="n">
        <f aca="false">H592*I592*(1-J592)</f>
        <v>1701</v>
      </c>
      <c r="L592" s="6" t="n">
        <f aca="false">H592*INDEX(Products!$E$2:$E$9,MATCH(E592,Products!$A$2:$A$9,0))</f>
        <v>1176</v>
      </c>
      <c r="M592" s="8" t="n">
        <f aca="false">K592-L592</f>
        <v>525</v>
      </c>
      <c r="N592" s="2" t="s">
        <v>19</v>
      </c>
      <c r="O592" s="2" t="s">
        <v>43</v>
      </c>
    </row>
    <row r="593" customFormat="false" ht="15" hidden="false" customHeight="false" outlineLevel="0" collapsed="false">
      <c r="A593" s="2" t="s">
        <v>647</v>
      </c>
      <c r="B593" s="3" t="n">
        <v>45919</v>
      </c>
      <c r="C593" s="2" t="s">
        <v>47</v>
      </c>
      <c r="D593" s="2" t="s">
        <v>71</v>
      </c>
      <c r="E593" s="2" t="s">
        <v>23</v>
      </c>
      <c r="F593" s="4" t="str">
        <f aca="false">INDEX(Products!$B$2:$B$9,MATCH(E593,Products!$A$2:$A$9,0))</f>
        <v>Sensor Hub S</v>
      </c>
      <c r="G593" s="4" t="str">
        <f aca="false">INDEX(Products!$C$2:$C$9,MATCH(E593,Products!$A$2:$A$9,0))</f>
        <v>Hardware</v>
      </c>
      <c r="H593" s="5" t="n">
        <v>12</v>
      </c>
      <c r="I593" s="6" t="n">
        <f aca="false">INDEX(Products!$D$2:$D$9,MATCH(E593,Products!$A$2:$A$9,0))</f>
        <v>189</v>
      </c>
      <c r="J593" s="7" t="n">
        <v>0.1</v>
      </c>
      <c r="K593" s="8" t="n">
        <f aca="false">H593*I593*(1-J593)</f>
        <v>2041.2</v>
      </c>
      <c r="L593" s="6" t="n">
        <f aca="false">H593*INDEX(Products!$E$2:$E$9,MATCH(E593,Products!$A$2:$A$9,0))</f>
        <v>1176</v>
      </c>
      <c r="M593" s="8" t="n">
        <f aca="false">K593-L593</f>
        <v>865.2</v>
      </c>
      <c r="N593" s="2" t="s">
        <v>19</v>
      </c>
      <c r="O593" s="2" t="s">
        <v>50</v>
      </c>
    </row>
    <row r="594" customFormat="false" ht="15" hidden="false" customHeight="false" outlineLevel="0" collapsed="false">
      <c r="A594" s="2" t="s">
        <v>648</v>
      </c>
      <c r="B594" s="3" t="n">
        <v>45921</v>
      </c>
      <c r="C594" s="2" t="s">
        <v>30</v>
      </c>
      <c r="D594" s="2" t="s">
        <v>128</v>
      </c>
      <c r="E594" s="2" t="s">
        <v>61</v>
      </c>
      <c r="F594" s="4" t="str">
        <f aca="false">INDEX(Products!$B$2:$B$9,MATCH(E594,Products!$A$2:$A$9,0))</f>
        <v>Install Service</v>
      </c>
      <c r="G594" s="4" t="str">
        <f aca="false">INDEX(Products!$C$2:$C$9,MATCH(E594,Products!$A$2:$A$9,0))</f>
        <v>Services</v>
      </c>
      <c r="H594" s="5" t="n">
        <v>2</v>
      </c>
      <c r="I594" s="6" t="n">
        <f aca="false">INDEX(Products!$D$2:$D$9,MATCH(E594,Products!$A$2:$A$9,0))</f>
        <v>450</v>
      </c>
      <c r="J594" s="7" t="n">
        <v>0.15</v>
      </c>
      <c r="K594" s="8" t="n">
        <f aca="false">H594*I594*(1-J594)</f>
        <v>765</v>
      </c>
      <c r="L594" s="6" t="n">
        <f aca="false">H594*INDEX(Products!$E$2:$E$9,MATCH(E594,Products!$A$2:$A$9,0))</f>
        <v>620</v>
      </c>
      <c r="M594" s="8" t="n">
        <f aca="false">K594-L594</f>
        <v>145</v>
      </c>
      <c r="N594" s="2" t="s">
        <v>28</v>
      </c>
      <c r="O594" s="2" t="s">
        <v>64</v>
      </c>
    </row>
    <row r="595" customFormat="false" ht="15" hidden="false" customHeight="false" outlineLevel="0" collapsed="false">
      <c r="A595" s="2" t="s">
        <v>649</v>
      </c>
      <c r="B595" s="3" t="n">
        <v>45922</v>
      </c>
      <c r="C595" s="2" t="s">
        <v>41</v>
      </c>
      <c r="D595" s="2" t="s">
        <v>66</v>
      </c>
      <c r="E595" s="2" t="s">
        <v>49</v>
      </c>
      <c r="F595" s="4" t="str">
        <f aca="false">INDEX(Products!$B$2:$B$9,MATCH(E595,Products!$A$2:$A$9,0))</f>
        <v>Mounting Kit</v>
      </c>
      <c r="G595" s="4" t="str">
        <f aca="false">INDEX(Products!$C$2:$C$9,MATCH(E595,Products!$A$2:$A$9,0))</f>
        <v>Accessories</v>
      </c>
      <c r="H595" s="5" t="n">
        <v>1</v>
      </c>
      <c r="I595" s="6" t="n">
        <f aca="false">INDEX(Products!$D$2:$D$9,MATCH(E595,Products!$A$2:$A$9,0))</f>
        <v>39</v>
      </c>
      <c r="J595" s="7" t="n">
        <v>0.05</v>
      </c>
      <c r="K595" s="8" t="n">
        <f aca="false">H595*I595*(1-J595)</f>
        <v>37.05</v>
      </c>
      <c r="L595" s="6" t="n">
        <f aca="false">H595*INDEX(Products!$E$2:$E$9,MATCH(E595,Products!$A$2:$A$9,0))</f>
        <v>31.5</v>
      </c>
      <c r="M595" s="8" t="n">
        <f aca="false">K595-L595</f>
        <v>5.55</v>
      </c>
      <c r="N595" s="2" t="s">
        <v>28</v>
      </c>
      <c r="O595" s="2" t="s">
        <v>52</v>
      </c>
    </row>
    <row r="596" customFormat="false" ht="15" hidden="false" customHeight="false" outlineLevel="0" collapsed="false">
      <c r="A596" s="2" t="s">
        <v>650</v>
      </c>
      <c r="B596" s="3" t="n">
        <v>45922</v>
      </c>
      <c r="C596" s="2" t="s">
        <v>16</v>
      </c>
      <c r="D596" s="2" t="s">
        <v>17</v>
      </c>
      <c r="E596" s="2" t="s">
        <v>32</v>
      </c>
      <c r="F596" s="4" t="str">
        <f aca="false">INDEX(Products!$B$2:$B$9,MATCH(E596,Products!$A$2:$A$9,0))</f>
        <v>Analytics Plus</v>
      </c>
      <c r="G596" s="4" t="str">
        <f aca="false">INDEX(Products!$C$2:$C$9,MATCH(E596,Products!$A$2:$A$9,0))</f>
        <v>Software</v>
      </c>
      <c r="H596" s="5" t="n">
        <v>1</v>
      </c>
      <c r="I596" s="6" t="n">
        <f aca="false">INDEX(Products!$D$2:$D$9,MATCH(E596,Products!$A$2:$A$9,0))</f>
        <v>290</v>
      </c>
      <c r="J596" s="7" t="n">
        <v>0.1</v>
      </c>
      <c r="K596" s="8" t="n">
        <f aca="false">H596*I596*(1-J596)</f>
        <v>261</v>
      </c>
      <c r="L596" s="6" t="n">
        <f aca="false">H596*INDEX(Products!$E$2:$E$9,MATCH(E596,Products!$A$2:$A$9,0))</f>
        <v>41</v>
      </c>
      <c r="M596" s="8" t="n">
        <f aca="false">K596-L596</f>
        <v>220</v>
      </c>
      <c r="N596" s="2" t="s">
        <v>19</v>
      </c>
      <c r="O596" s="2" t="s">
        <v>20</v>
      </c>
    </row>
    <row r="597" customFormat="false" ht="15" hidden="false" customHeight="false" outlineLevel="0" collapsed="false">
      <c r="A597" s="2" t="s">
        <v>651</v>
      </c>
      <c r="B597" s="3" t="n">
        <v>45922</v>
      </c>
      <c r="C597" s="2" t="s">
        <v>41</v>
      </c>
      <c r="D597" s="2" t="s">
        <v>42</v>
      </c>
      <c r="E597" s="2" t="s">
        <v>32</v>
      </c>
      <c r="F597" s="4" t="str">
        <f aca="false">INDEX(Products!$B$2:$B$9,MATCH(E597,Products!$A$2:$A$9,0))</f>
        <v>Analytics Plus</v>
      </c>
      <c r="G597" s="4" t="str">
        <f aca="false">INDEX(Products!$C$2:$C$9,MATCH(E597,Products!$A$2:$A$9,0))</f>
        <v>Software</v>
      </c>
      <c r="H597" s="5" t="n">
        <v>1</v>
      </c>
      <c r="I597" s="6" t="n">
        <f aca="false">INDEX(Products!$D$2:$D$9,MATCH(E597,Products!$A$2:$A$9,0))</f>
        <v>290</v>
      </c>
      <c r="J597" s="7" t="n">
        <v>0</v>
      </c>
      <c r="K597" s="8" t="n">
        <f aca="false">H597*I597*(1-J597)</f>
        <v>290</v>
      </c>
      <c r="L597" s="6" t="n">
        <f aca="false">H597*INDEX(Products!$E$2:$E$9,MATCH(E597,Products!$A$2:$A$9,0))</f>
        <v>41</v>
      </c>
      <c r="M597" s="8" t="n">
        <f aca="false">K597-L597</f>
        <v>249</v>
      </c>
      <c r="N597" s="2" t="s">
        <v>28</v>
      </c>
      <c r="O597" s="2" t="s">
        <v>52</v>
      </c>
    </row>
    <row r="598" customFormat="false" ht="15" hidden="false" customHeight="false" outlineLevel="0" collapsed="false">
      <c r="A598" s="2" t="s">
        <v>652</v>
      </c>
      <c r="B598" s="3" t="n">
        <v>45923</v>
      </c>
      <c r="C598" s="2" t="s">
        <v>41</v>
      </c>
      <c r="D598" s="2" t="s">
        <v>66</v>
      </c>
      <c r="E598" s="2" t="s">
        <v>18</v>
      </c>
      <c r="F598" s="4" t="str">
        <f aca="false">INDEX(Products!$B$2:$B$9,MATCH(E598,Products!$A$2:$A$9,0))</f>
        <v>Sensor Hub Pro</v>
      </c>
      <c r="G598" s="4" t="str">
        <f aca="false">INDEX(Products!$C$2:$C$9,MATCH(E598,Products!$A$2:$A$9,0))</f>
        <v>Hardware</v>
      </c>
      <c r="H598" s="5" t="n">
        <v>10</v>
      </c>
      <c r="I598" s="6" t="n">
        <f aca="false">INDEX(Products!$D$2:$D$9,MATCH(E598,Products!$A$2:$A$9,0))</f>
        <v>349</v>
      </c>
      <c r="J598" s="7" t="n">
        <v>0</v>
      </c>
      <c r="K598" s="8" t="n">
        <f aca="false">H598*I598*(1-J598)</f>
        <v>3490</v>
      </c>
      <c r="L598" s="6" t="n">
        <f aca="false">H598*INDEX(Products!$E$2:$E$9,MATCH(E598,Products!$A$2:$A$9,0))</f>
        <v>2010</v>
      </c>
      <c r="M598" s="8" t="n">
        <f aca="false">K598-L598</f>
        <v>1480</v>
      </c>
      <c r="N598" s="2" t="s">
        <v>28</v>
      </c>
      <c r="O598" s="2" t="s">
        <v>52</v>
      </c>
    </row>
    <row r="599" customFormat="false" ht="15" hidden="false" customHeight="false" outlineLevel="0" collapsed="false">
      <c r="A599" s="2" t="s">
        <v>653</v>
      </c>
      <c r="B599" s="3" t="n">
        <v>45923</v>
      </c>
      <c r="C599" s="2" t="s">
        <v>41</v>
      </c>
      <c r="D599" s="2" t="s">
        <v>66</v>
      </c>
      <c r="E599" s="2" t="s">
        <v>26</v>
      </c>
      <c r="F599" s="4" t="str">
        <f aca="false">INDEX(Products!$B$2:$B$9,MATCH(E599,Products!$A$2:$A$9,0))</f>
        <v>Analytics Basic</v>
      </c>
      <c r="G599" s="4" t="str">
        <f aca="false">INDEX(Products!$C$2:$C$9,MATCH(E599,Products!$A$2:$A$9,0))</f>
        <v>Software</v>
      </c>
      <c r="H599" s="5" t="n">
        <v>3</v>
      </c>
      <c r="I599" s="6" t="n">
        <f aca="false">INDEX(Products!$D$2:$D$9,MATCH(E599,Products!$A$2:$A$9,0))</f>
        <v>120</v>
      </c>
      <c r="J599" s="7" t="n">
        <v>0</v>
      </c>
      <c r="K599" s="8" t="n">
        <f aca="false">H599*I599*(1-J599)</f>
        <v>360</v>
      </c>
      <c r="L599" s="6" t="n">
        <f aca="false">H599*INDEX(Products!$E$2:$E$9,MATCH(E599,Products!$A$2:$A$9,0))</f>
        <v>54</v>
      </c>
      <c r="M599" s="8" t="n">
        <f aca="false">K599-L599</f>
        <v>306</v>
      </c>
      <c r="N599" s="2" t="s">
        <v>28</v>
      </c>
      <c r="O599" s="2" t="s">
        <v>52</v>
      </c>
    </row>
    <row r="600" customFormat="false" ht="15" hidden="false" customHeight="false" outlineLevel="0" collapsed="false">
      <c r="A600" s="2" t="s">
        <v>654</v>
      </c>
      <c r="B600" s="3" t="n">
        <v>45923</v>
      </c>
      <c r="C600" s="2" t="s">
        <v>59</v>
      </c>
      <c r="D600" s="2" t="s">
        <v>60</v>
      </c>
      <c r="E600" s="2" t="s">
        <v>26</v>
      </c>
      <c r="F600" s="4" t="str">
        <f aca="false">INDEX(Products!$B$2:$B$9,MATCH(E600,Products!$A$2:$A$9,0))</f>
        <v>Analytics Basic</v>
      </c>
      <c r="G600" s="4" t="str">
        <f aca="false">INDEX(Products!$C$2:$C$9,MATCH(E600,Products!$A$2:$A$9,0))</f>
        <v>Software</v>
      </c>
      <c r="H600" s="5" t="n">
        <v>5</v>
      </c>
      <c r="I600" s="6" t="n">
        <f aca="false">INDEX(Products!$D$2:$D$9,MATCH(E600,Products!$A$2:$A$9,0))</f>
        <v>120</v>
      </c>
      <c r="J600" s="7" t="n">
        <v>0</v>
      </c>
      <c r="K600" s="8" t="n">
        <f aca="false">H600*I600*(1-J600)</f>
        <v>600</v>
      </c>
      <c r="L600" s="6" t="n">
        <f aca="false">H600*INDEX(Products!$E$2:$E$9,MATCH(E600,Products!$A$2:$A$9,0))</f>
        <v>90</v>
      </c>
      <c r="M600" s="8" t="n">
        <f aca="false">K600-L600</f>
        <v>510</v>
      </c>
      <c r="N600" s="2" t="s">
        <v>28</v>
      </c>
      <c r="O600" s="2" t="s">
        <v>62</v>
      </c>
    </row>
    <row r="601" customFormat="false" ht="15" hidden="false" customHeight="false" outlineLevel="0" collapsed="false">
      <c r="A601" s="2" t="s">
        <v>655</v>
      </c>
      <c r="B601" s="3" t="n">
        <v>45923</v>
      </c>
      <c r="C601" s="2" t="s">
        <v>41</v>
      </c>
      <c r="D601" s="2" t="s">
        <v>42</v>
      </c>
      <c r="E601" s="2" t="s">
        <v>26</v>
      </c>
      <c r="F601" s="4" t="str">
        <f aca="false">INDEX(Products!$B$2:$B$9,MATCH(E601,Products!$A$2:$A$9,0))</f>
        <v>Analytics Basic</v>
      </c>
      <c r="G601" s="4" t="str">
        <f aca="false">INDEX(Products!$C$2:$C$9,MATCH(E601,Products!$A$2:$A$9,0))</f>
        <v>Software</v>
      </c>
      <c r="H601" s="5" t="n">
        <v>5</v>
      </c>
      <c r="I601" s="6" t="n">
        <f aca="false">INDEX(Products!$D$2:$D$9,MATCH(E601,Products!$A$2:$A$9,0))</f>
        <v>120</v>
      </c>
      <c r="J601" s="7" t="n">
        <v>0</v>
      </c>
      <c r="K601" s="8" t="n">
        <f aca="false">H601*I601*(1-J601)</f>
        <v>600</v>
      </c>
      <c r="L601" s="6" t="n">
        <f aca="false">H601*INDEX(Products!$E$2:$E$9,MATCH(E601,Products!$A$2:$A$9,0))</f>
        <v>90</v>
      </c>
      <c r="M601" s="8" t="n">
        <f aca="false">K601-L601</f>
        <v>510</v>
      </c>
      <c r="N601" s="2" t="s">
        <v>38</v>
      </c>
      <c r="O601" s="2" t="s">
        <v>52</v>
      </c>
    </row>
    <row r="602" customFormat="false" ht="15" hidden="false" customHeight="false" outlineLevel="0" collapsed="false">
      <c r="A602" s="2" t="s">
        <v>656</v>
      </c>
      <c r="B602" s="3" t="n">
        <v>45924</v>
      </c>
      <c r="C602" s="2" t="s">
        <v>41</v>
      </c>
      <c r="D602" s="2" t="s">
        <v>42</v>
      </c>
      <c r="E602" s="2" t="s">
        <v>32</v>
      </c>
      <c r="F602" s="4" t="str">
        <f aca="false">INDEX(Products!$B$2:$B$9,MATCH(E602,Products!$A$2:$A$9,0))</f>
        <v>Analytics Plus</v>
      </c>
      <c r="G602" s="4" t="str">
        <f aca="false">INDEX(Products!$C$2:$C$9,MATCH(E602,Products!$A$2:$A$9,0))</f>
        <v>Software</v>
      </c>
      <c r="H602" s="5" t="n">
        <v>1</v>
      </c>
      <c r="I602" s="6" t="n">
        <f aca="false">INDEX(Products!$D$2:$D$9,MATCH(E602,Products!$A$2:$A$9,0))</f>
        <v>290</v>
      </c>
      <c r="J602" s="7" t="n">
        <v>0.1</v>
      </c>
      <c r="K602" s="8" t="n">
        <f aca="false">H602*I602*(1-J602)</f>
        <v>261</v>
      </c>
      <c r="L602" s="6" t="n">
        <f aca="false">H602*INDEX(Products!$E$2:$E$9,MATCH(E602,Products!$A$2:$A$9,0))</f>
        <v>41</v>
      </c>
      <c r="M602" s="8" t="n">
        <f aca="false">K602-L602</f>
        <v>220</v>
      </c>
      <c r="N602" s="2" t="s">
        <v>28</v>
      </c>
      <c r="O602" s="2" t="s">
        <v>43</v>
      </c>
    </row>
    <row r="603" customFormat="false" ht="15" hidden="false" customHeight="false" outlineLevel="0" collapsed="false">
      <c r="A603" s="2" t="s">
        <v>657</v>
      </c>
      <c r="B603" s="3" t="n">
        <v>45924</v>
      </c>
      <c r="C603" s="2" t="s">
        <v>30</v>
      </c>
      <c r="D603" s="2" t="s">
        <v>77</v>
      </c>
      <c r="E603" s="2" t="s">
        <v>26</v>
      </c>
      <c r="F603" s="4" t="str">
        <f aca="false">INDEX(Products!$B$2:$B$9,MATCH(E603,Products!$A$2:$A$9,0))</f>
        <v>Analytics Basic</v>
      </c>
      <c r="G603" s="4" t="str">
        <f aca="false">INDEX(Products!$C$2:$C$9,MATCH(E603,Products!$A$2:$A$9,0))</f>
        <v>Software</v>
      </c>
      <c r="H603" s="5" t="n">
        <v>3</v>
      </c>
      <c r="I603" s="6" t="n">
        <f aca="false">INDEX(Products!$D$2:$D$9,MATCH(E603,Products!$A$2:$A$9,0))</f>
        <v>120</v>
      </c>
      <c r="J603" s="7" t="n">
        <v>0</v>
      </c>
      <c r="K603" s="8" t="n">
        <f aca="false">H603*I603*(1-J603)</f>
        <v>360</v>
      </c>
      <c r="L603" s="6" t="n">
        <f aca="false">H603*INDEX(Products!$E$2:$E$9,MATCH(E603,Products!$A$2:$A$9,0))</f>
        <v>54</v>
      </c>
      <c r="M603" s="8" t="n">
        <f aca="false">K603-L603</f>
        <v>306</v>
      </c>
      <c r="N603" s="2" t="s">
        <v>28</v>
      </c>
      <c r="O603" s="2" t="s">
        <v>64</v>
      </c>
    </row>
    <row r="604" customFormat="false" ht="15" hidden="false" customHeight="false" outlineLevel="0" collapsed="false">
      <c r="A604" s="2" t="s">
        <v>658</v>
      </c>
      <c r="B604" s="3" t="n">
        <v>45924</v>
      </c>
      <c r="C604" s="2" t="s">
        <v>47</v>
      </c>
      <c r="D604" s="2" t="s">
        <v>157</v>
      </c>
      <c r="E604" s="2" t="s">
        <v>32</v>
      </c>
      <c r="F604" s="4" t="str">
        <f aca="false">INDEX(Products!$B$2:$B$9,MATCH(E604,Products!$A$2:$A$9,0))</f>
        <v>Analytics Plus</v>
      </c>
      <c r="G604" s="4" t="str">
        <f aca="false">INDEX(Products!$C$2:$C$9,MATCH(E604,Products!$A$2:$A$9,0))</f>
        <v>Software</v>
      </c>
      <c r="H604" s="5" t="n">
        <v>5</v>
      </c>
      <c r="I604" s="6" t="n">
        <f aca="false">INDEX(Products!$D$2:$D$9,MATCH(E604,Products!$A$2:$A$9,0))</f>
        <v>290</v>
      </c>
      <c r="J604" s="7" t="n">
        <v>0.05</v>
      </c>
      <c r="K604" s="8" t="n">
        <f aca="false">H604*I604*(1-J604)</f>
        <v>1377.5</v>
      </c>
      <c r="L604" s="6" t="n">
        <f aca="false">H604*INDEX(Products!$E$2:$E$9,MATCH(E604,Products!$A$2:$A$9,0))</f>
        <v>205</v>
      </c>
      <c r="M604" s="8" t="n">
        <f aca="false">K604-L604</f>
        <v>1172.5</v>
      </c>
      <c r="N604" s="2" t="s">
        <v>28</v>
      </c>
      <c r="O604" s="2" t="s">
        <v>72</v>
      </c>
    </row>
    <row r="605" customFormat="false" ht="15" hidden="false" customHeight="false" outlineLevel="0" collapsed="false">
      <c r="A605" s="2" t="s">
        <v>659</v>
      </c>
      <c r="B605" s="3" t="n">
        <v>45924</v>
      </c>
      <c r="C605" s="2" t="s">
        <v>59</v>
      </c>
      <c r="D605" s="2" t="s">
        <v>101</v>
      </c>
      <c r="E605" s="2" t="s">
        <v>68</v>
      </c>
      <c r="F605" s="4" t="str">
        <f aca="false">INDEX(Products!$B$2:$B$9,MATCH(E605,Products!$A$2:$A$9,0))</f>
        <v>Premium Support</v>
      </c>
      <c r="G605" s="4" t="str">
        <f aca="false">INDEX(Products!$C$2:$C$9,MATCH(E605,Products!$A$2:$A$9,0))</f>
        <v>Services</v>
      </c>
      <c r="H605" s="5" t="n">
        <v>5</v>
      </c>
      <c r="I605" s="6" t="n">
        <f aca="false">INDEX(Products!$D$2:$D$9,MATCH(E605,Products!$A$2:$A$9,0))</f>
        <v>600</v>
      </c>
      <c r="J605" s="7" t="n">
        <v>0</v>
      </c>
      <c r="K605" s="8" t="n">
        <f aca="false">H605*I605*(1-J605)</f>
        <v>3000</v>
      </c>
      <c r="L605" s="6" t="n">
        <f aca="false">H605*INDEX(Products!$E$2:$E$9,MATCH(E605,Products!$A$2:$A$9,0))</f>
        <v>1975</v>
      </c>
      <c r="M605" s="8" t="n">
        <f aca="false">K605-L605</f>
        <v>1025</v>
      </c>
      <c r="N605" s="2" t="s">
        <v>28</v>
      </c>
      <c r="O605" s="2" t="s">
        <v>62</v>
      </c>
    </row>
    <row r="606" customFormat="false" ht="15" hidden="false" customHeight="false" outlineLevel="0" collapsed="false">
      <c r="A606" s="2" t="s">
        <v>660</v>
      </c>
      <c r="B606" s="3" t="n">
        <v>45925</v>
      </c>
      <c r="C606" s="2" t="s">
        <v>16</v>
      </c>
      <c r="D606" s="2" t="s">
        <v>22</v>
      </c>
      <c r="E606" s="2" t="s">
        <v>61</v>
      </c>
      <c r="F606" s="4" t="str">
        <f aca="false">INDEX(Products!$B$2:$B$9,MATCH(E606,Products!$A$2:$A$9,0))</f>
        <v>Install Service</v>
      </c>
      <c r="G606" s="4" t="str">
        <f aca="false">INDEX(Products!$C$2:$C$9,MATCH(E606,Products!$A$2:$A$9,0))</f>
        <v>Services</v>
      </c>
      <c r="H606" s="5" t="n">
        <v>3</v>
      </c>
      <c r="I606" s="6" t="n">
        <f aca="false">INDEX(Products!$D$2:$D$9,MATCH(E606,Products!$A$2:$A$9,0))</f>
        <v>450</v>
      </c>
      <c r="J606" s="7" t="n">
        <v>0.1</v>
      </c>
      <c r="K606" s="8" t="n">
        <f aca="false">H606*I606*(1-J606)</f>
        <v>1215</v>
      </c>
      <c r="L606" s="6" t="n">
        <f aca="false">H606*INDEX(Products!$E$2:$E$9,MATCH(E606,Products!$A$2:$A$9,0))</f>
        <v>930</v>
      </c>
      <c r="M606" s="8" t="n">
        <f aca="false">K606-L606</f>
        <v>285</v>
      </c>
      <c r="N606" s="2" t="s">
        <v>19</v>
      </c>
      <c r="O606" s="2" t="s">
        <v>36</v>
      </c>
    </row>
    <row r="607" customFormat="false" ht="15" hidden="false" customHeight="false" outlineLevel="0" collapsed="false">
      <c r="A607" s="2" t="s">
        <v>661</v>
      </c>
      <c r="B607" s="3" t="n">
        <v>45925</v>
      </c>
      <c r="C607" s="2" t="s">
        <v>47</v>
      </c>
      <c r="D607" s="2" t="s">
        <v>71</v>
      </c>
      <c r="E607" s="2" t="s">
        <v>32</v>
      </c>
      <c r="F607" s="4" t="str">
        <f aca="false">INDEX(Products!$B$2:$B$9,MATCH(E607,Products!$A$2:$A$9,0))</f>
        <v>Analytics Plus</v>
      </c>
      <c r="G607" s="4" t="str">
        <f aca="false">INDEX(Products!$C$2:$C$9,MATCH(E607,Products!$A$2:$A$9,0))</f>
        <v>Software</v>
      </c>
      <c r="H607" s="5" t="n">
        <v>1</v>
      </c>
      <c r="I607" s="6" t="n">
        <f aca="false">INDEX(Products!$D$2:$D$9,MATCH(E607,Products!$A$2:$A$9,0))</f>
        <v>290</v>
      </c>
      <c r="J607" s="7" t="n">
        <v>0</v>
      </c>
      <c r="K607" s="8" t="n">
        <f aca="false">H607*I607*(1-J607)</f>
        <v>290</v>
      </c>
      <c r="L607" s="6" t="n">
        <f aca="false">H607*INDEX(Products!$E$2:$E$9,MATCH(E607,Products!$A$2:$A$9,0))</f>
        <v>41</v>
      </c>
      <c r="M607" s="8" t="n">
        <f aca="false">K607-L607</f>
        <v>249</v>
      </c>
      <c r="N607" s="2" t="s">
        <v>28</v>
      </c>
      <c r="O607" s="2" t="s">
        <v>50</v>
      </c>
    </row>
    <row r="608" customFormat="false" ht="15" hidden="false" customHeight="false" outlineLevel="0" collapsed="false">
      <c r="A608" s="2" t="s">
        <v>662</v>
      </c>
      <c r="B608" s="3" t="n">
        <v>45926</v>
      </c>
      <c r="C608" s="2" t="s">
        <v>16</v>
      </c>
      <c r="D608" s="2" t="s">
        <v>35</v>
      </c>
      <c r="E608" s="2" t="s">
        <v>23</v>
      </c>
      <c r="F608" s="4" t="str">
        <f aca="false">INDEX(Products!$B$2:$B$9,MATCH(E608,Products!$A$2:$A$9,0))</f>
        <v>Sensor Hub S</v>
      </c>
      <c r="G608" s="4" t="str">
        <f aca="false">INDEX(Products!$C$2:$C$9,MATCH(E608,Products!$A$2:$A$9,0))</f>
        <v>Hardware</v>
      </c>
      <c r="H608" s="5" t="n">
        <v>1</v>
      </c>
      <c r="I608" s="6" t="n">
        <f aca="false">INDEX(Products!$D$2:$D$9,MATCH(E608,Products!$A$2:$A$9,0))</f>
        <v>189</v>
      </c>
      <c r="J608" s="7" t="n">
        <v>0.05</v>
      </c>
      <c r="K608" s="8" t="n">
        <f aca="false">H608*I608*(1-J608)</f>
        <v>179.55</v>
      </c>
      <c r="L608" s="6" t="n">
        <f aca="false">H608*INDEX(Products!$E$2:$E$9,MATCH(E608,Products!$A$2:$A$9,0))</f>
        <v>98</v>
      </c>
      <c r="M608" s="8" t="n">
        <f aca="false">K608-L608</f>
        <v>81.55</v>
      </c>
      <c r="N608" s="2" t="s">
        <v>38</v>
      </c>
      <c r="O608" s="2" t="s">
        <v>20</v>
      </c>
    </row>
    <row r="609" customFormat="false" ht="15" hidden="false" customHeight="false" outlineLevel="0" collapsed="false">
      <c r="A609" s="2" t="s">
        <v>663</v>
      </c>
      <c r="B609" s="3" t="n">
        <v>45926</v>
      </c>
      <c r="C609" s="2" t="s">
        <v>47</v>
      </c>
      <c r="D609" s="2" t="s">
        <v>71</v>
      </c>
      <c r="E609" s="2" t="s">
        <v>68</v>
      </c>
      <c r="F609" s="4" t="str">
        <f aca="false">INDEX(Products!$B$2:$B$9,MATCH(E609,Products!$A$2:$A$9,0))</f>
        <v>Premium Support</v>
      </c>
      <c r="G609" s="4" t="str">
        <f aca="false">INDEX(Products!$C$2:$C$9,MATCH(E609,Products!$A$2:$A$9,0))</f>
        <v>Services</v>
      </c>
      <c r="H609" s="5" t="n">
        <v>1</v>
      </c>
      <c r="I609" s="6" t="n">
        <f aca="false">INDEX(Products!$D$2:$D$9,MATCH(E609,Products!$A$2:$A$9,0))</f>
        <v>600</v>
      </c>
      <c r="J609" s="7" t="n">
        <v>0.1</v>
      </c>
      <c r="K609" s="8" t="n">
        <f aca="false">H609*I609*(1-J609)</f>
        <v>540</v>
      </c>
      <c r="L609" s="6" t="n">
        <f aca="false">H609*INDEX(Products!$E$2:$E$9,MATCH(E609,Products!$A$2:$A$9,0))</f>
        <v>395</v>
      </c>
      <c r="M609" s="8" t="n">
        <f aca="false">K609-L609</f>
        <v>145</v>
      </c>
      <c r="N609" s="2" t="s">
        <v>19</v>
      </c>
      <c r="O609" s="2" t="s">
        <v>50</v>
      </c>
    </row>
    <row r="610" customFormat="false" ht="15" hidden="false" customHeight="false" outlineLevel="0" collapsed="false">
      <c r="A610" s="2" t="s">
        <v>664</v>
      </c>
      <c r="B610" s="3" t="n">
        <v>45926</v>
      </c>
      <c r="C610" s="2" t="s">
        <v>41</v>
      </c>
      <c r="D610" s="2" t="s">
        <v>42</v>
      </c>
      <c r="E610" s="2" t="s">
        <v>18</v>
      </c>
      <c r="F610" s="4" t="str">
        <f aca="false">INDEX(Products!$B$2:$B$9,MATCH(E610,Products!$A$2:$A$9,0))</f>
        <v>Sensor Hub Pro</v>
      </c>
      <c r="G610" s="4" t="str">
        <f aca="false">INDEX(Products!$C$2:$C$9,MATCH(E610,Products!$A$2:$A$9,0))</f>
        <v>Hardware</v>
      </c>
      <c r="H610" s="5" t="n">
        <v>5</v>
      </c>
      <c r="I610" s="6" t="n">
        <f aca="false">INDEX(Products!$D$2:$D$9,MATCH(E610,Products!$A$2:$A$9,0))</f>
        <v>349</v>
      </c>
      <c r="J610" s="7" t="n">
        <v>0.15</v>
      </c>
      <c r="K610" s="8" t="n">
        <f aca="false">H610*I610*(1-J610)</f>
        <v>1483.25</v>
      </c>
      <c r="L610" s="6" t="n">
        <f aca="false">H610*INDEX(Products!$E$2:$E$9,MATCH(E610,Products!$A$2:$A$9,0))</f>
        <v>1005</v>
      </c>
      <c r="M610" s="8" t="n">
        <f aca="false">K610-L610</f>
        <v>478.25</v>
      </c>
      <c r="N610" s="2" t="s">
        <v>19</v>
      </c>
      <c r="O610" s="2" t="s">
        <v>52</v>
      </c>
    </row>
    <row r="611" customFormat="false" ht="15" hidden="false" customHeight="false" outlineLevel="0" collapsed="false">
      <c r="A611" s="2" t="s">
        <v>665</v>
      </c>
      <c r="B611" s="3" t="n">
        <v>45928</v>
      </c>
      <c r="C611" s="2" t="s">
        <v>47</v>
      </c>
      <c r="D611" s="2" t="s">
        <v>71</v>
      </c>
      <c r="E611" s="2" t="s">
        <v>61</v>
      </c>
      <c r="F611" s="4" t="str">
        <f aca="false">INDEX(Products!$B$2:$B$9,MATCH(E611,Products!$A$2:$A$9,0))</f>
        <v>Install Service</v>
      </c>
      <c r="G611" s="4" t="str">
        <f aca="false">INDEX(Products!$C$2:$C$9,MATCH(E611,Products!$A$2:$A$9,0))</f>
        <v>Services</v>
      </c>
      <c r="H611" s="5" t="n">
        <v>1</v>
      </c>
      <c r="I611" s="6" t="n">
        <f aca="false">INDEX(Products!$D$2:$D$9,MATCH(E611,Products!$A$2:$A$9,0))</f>
        <v>450</v>
      </c>
      <c r="J611" s="7" t="n">
        <v>0.15</v>
      </c>
      <c r="K611" s="8" t="n">
        <f aca="false">H611*I611*(1-J611)</f>
        <v>382.5</v>
      </c>
      <c r="L611" s="6" t="n">
        <f aca="false">H611*INDEX(Products!$E$2:$E$9,MATCH(E611,Products!$A$2:$A$9,0))</f>
        <v>310</v>
      </c>
      <c r="M611" s="8" t="n">
        <f aca="false">K611-L611</f>
        <v>72.5</v>
      </c>
      <c r="N611" s="2" t="s">
        <v>19</v>
      </c>
      <c r="O611" s="2" t="s">
        <v>72</v>
      </c>
    </row>
    <row r="612" customFormat="false" ht="15" hidden="false" customHeight="false" outlineLevel="0" collapsed="false">
      <c r="A612" s="2" t="s">
        <v>666</v>
      </c>
      <c r="B612" s="3" t="n">
        <v>45929</v>
      </c>
      <c r="C612" s="2" t="s">
        <v>41</v>
      </c>
      <c r="D612" s="2" t="s">
        <v>42</v>
      </c>
      <c r="E612" s="2" t="s">
        <v>49</v>
      </c>
      <c r="F612" s="4" t="str">
        <f aca="false">INDEX(Products!$B$2:$B$9,MATCH(E612,Products!$A$2:$A$9,0))</f>
        <v>Mounting Kit</v>
      </c>
      <c r="G612" s="4" t="str">
        <f aca="false">INDEX(Products!$C$2:$C$9,MATCH(E612,Products!$A$2:$A$9,0))</f>
        <v>Accessories</v>
      </c>
      <c r="H612" s="5" t="n">
        <v>8</v>
      </c>
      <c r="I612" s="6" t="n">
        <f aca="false">INDEX(Products!$D$2:$D$9,MATCH(E612,Products!$A$2:$A$9,0))</f>
        <v>39</v>
      </c>
      <c r="J612" s="7" t="n">
        <v>0.15</v>
      </c>
      <c r="K612" s="8" t="n">
        <f aca="false">H612*I612*(1-J612)</f>
        <v>265.2</v>
      </c>
      <c r="L612" s="6" t="n">
        <f aca="false">H612*INDEX(Products!$E$2:$E$9,MATCH(E612,Products!$A$2:$A$9,0))</f>
        <v>252</v>
      </c>
      <c r="M612" s="8" t="n">
        <f aca="false">K612-L612</f>
        <v>13.2</v>
      </c>
      <c r="N612" s="2" t="s">
        <v>19</v>
      </c>
      <c r="O612" s="2" t="s">
        <v>52</v>
      </c>
    </row>
    <row r="613" customFormat="false" ht="15" hidden="false" customHeight="false" outlineLevel="0" collapsed="false">
      <c r="A613" s="2" t="s">
        <v>667</v>
      </c>
      <c r="B613" s="3" t="n">
        <v>45929</v>
      </c>
      <c r="C613" s="2" t="s">
        <v>16</v>
      </c>
      <c r="D613" s="2" t="s">
        <v>22</v>
      </c>
      <c r="E613" s="2" t="s">
        <v>23</v>
      </c>
      <c r="F613" s="4" t="str">
        <f aca="false">INDEX(Products!$B$2:$B$9,MATCH(E613,Products!$A$2:$A$9,0))</f>
        <v>Sensor Hub S</v>
      </c>
      <c r="G613" s="4" t="str">
        <f aca="false">INDEX(Products!$C$2:$C$9,MATCH(E613,Products!$A$2:$A$9,0))</f>
        <v>Hardware</v>
      </c>
      <c r="H613" s="5" t="n">
        <v>20</v>
      </c>
      <c r="I613" s="6" t="n">
        <f aca="false">INDEX(Products!$D$2:$D$9,MATCH(E613,Products!$A$2:$A$9,0))</f>
        <v>189</v>
      </c>
      <c r="J613" s="7" t="n">
        <v>0.1</v>
      </c>
      <c r="K613" s="8" t="n">
        <f aca="false">H613*I613*(1-J613)</f>
        <v>3402</v>
      </c>
      <c r="L613" s="6" t="n">
        <f aca="false">H613*INDEX(Products!$E$2:$E$9,MATCH(E613,Products!$A$2:$A$9,0))</f>
        <v>1960</v>
      </c>
      <c r="M613" s="8" t="n">
        <f aca="false">K613-L613</f>
        <v>1442</v>
      </c>
      <c r="N613" s="2" t="s">
        <v>19</v>
      </c>
      <c r="O613" s="2" t="s">
        <v>20</v>
      </c>
    </row>
    <row r="614" customFormat="false" ht="15" hidden="false" customHeight="false" outlineLevel="0" collapsed="false">
      <c r="A614" s="2" t="s">
        <v>668</v>
      </c>
      <c r="B614" s="3" t="n">
        <v>45929</v>
      </c>
      <c r="C614" s="2" t="s">
        <v>47</v>
      </c>
      <c r="D614" s="2" t="s">
        <v>157</v>
      </c>
      <c r="E614" s="2" t="s">
        <v>57</v>
      </c>
      <c r="F614" s="4" t="str">
        <f aca="false">INDEX(Products!$B$2:$B$9,MATCH(E614,Products!$A$2:$A$9,0))</f>
        <v>Edge Gateway</v>
      </c>
      <c r="G614" s="4" t="str">
        <f aca="false">INDEX(Products!$C$2:$C$9,MATCH(E614,Products!$A$2:$A$9,0))</f>
        <v>Hardware</v>
      </c>
      <c r="H614" s="5" t="n">
        <v>10</v>
      </c>
      <c r="I614" s="6" t="n">
        <f aca="false">INDEX(Products!$D$2:$D$9,MATCH(E614,Products!$A$2:$A$9,0))</f>
        <v>899</v>
      </c>
      <c r="J614" s="7" t="n">
        <v>0.15</v>
      </c>
      <c r="K614" s="8" t="n">
        <f aca="false">H614*I614*(1-J614)</f>
        <v>7641.5</v>
      </c>
      <c r="L614" s="6" t="n">
        <f aca="false">H614*INDEX(Products!$E$2:$E$9,MATCH(E614,Products!$A$2:$A$9,0))</f>
        <v>6120</v>
      </c>
      <c r="M614" s="8" t="n">
        <f aca="false">K614-L614</f>
        <v>1521.5</v>
      </c>
      <c r="N614" s="2" t="s">
        <v>28</v>
      </c>
      <c r="O614" s="2" t="s">
        <v>72</v>
      </c>
    </row>
    <row r="615" customFormat="false" ht="15" hidden="false" customHeight="false" outlineLevel="0" collapsed="false">
      <c r="A615" s="2" t="s">
        <v>669</v>
      </c>
      <c r="B615" s="3" t="n">
        <v>45929</v>
      </c>
      <c r="C615" s="2" t="s">
        <v>16</v>
      </c>
      <c r="D615" s="2" t="s">
        <v>25</v>
      </c>
      <c r="E615" s="2" t="s">
        <v>57</v>
      </c>
      <c r="F615" s="4" t="str">
        <f aca="false">INDEX(Products!$B$2:$B$9,MATCH(E615,Products!$A$2:$A$9,0))</f>
        <v>Edge Gateway</v>
      </c>
      <c r="G615" s="4" t="str">
        <f aca="false">INDEX(Products!$C$2:$C$9,MATCH(E615,Products!$A$2:$A$9,0))</f>
        <v>Hardware</v>
      </c>
      <c r="H615" s="5" t="n">
        <v>4</v>
      </c>
      <c r="I615" s="6" t="n">
        <f aca="false">INDEX(Products!$D$2:$D$9,MATCH(E615,Products!$A$2:$A$9,0))</f>
        <v>899</v>
      </c>
      <c r="J615" s="7" t="n">
        <v>0</v>
      </c>
      <c r="K615" s="8" t="n">
        <f aca="false">H615*I615*(1-J615)</f>
        <v>3596</v>
      </c>
      <c r="L615" s="6" t="n">
        <f aca="false">H615*INDEX(Products!$E$2:$E$9,MATCH(E615,Products!$A$2:$A$9,0))</f>
        <v>2448</v>
      </c>
      <c r="M615" s="8" t="n">
        <f aca="false">K615-L615</f>
        <v>1148</v>
      </c>
      <c r="N615" s="2" t="s">
        <v>28</v>
      </c>
      <c r="O615" s="2" t="s">
        <v>20</v>
      </c>
    </row>
    <row r="616" customFormat="false" ht="15" hidden="false" customHeight="false" outlineLevel="0" collapsed="false">
      <c r="A616" s="2" t="s">
        <v>670</v>
      </c>
      <c r="B616" s="3" t="n">
        <v>45930</v>
      </c>
      <c r="C616" s="2" t="s">
        <v>16</v>
      </c>
      <c r="D616" s="2" t="s">
        <v>25</v>
      </c>
      <c r="E616" s="2" t="s">
        <v>49</v>
      </c>
      <c r="F616" s="4" t="str">
        <f aca="false">INDEX(Products!$B$2:$B$9,MATCH(E616,Products!$A$2:$A$9,0))</f>
        <v>Mounting Kit</v>
      </c>
      <c r="G616" s="4" t="str">
        <f aca="false">INDEX(Products!$C$2:$C$9,MATCH(E616,Products!$A$2:$A$9,0))</f>
        <v>Accessories</v>
      </c>
      <c r="H616" s="5" t="n">
        <v>20</v>
      </c>
      <c r="I616" s="6" t="n">
        <f aca="false">INDEX(Products!$D$2:$D$9,MATCH(E616,Products!$A$2:$A$9,0))</f>
        <v>39</v>
      </c>
      <c r="J616" s="7" t="n">
        <v>0</v>
      </c>
      <c r="K616" s="8" t="n">
        <f aca="false">H616*I616*(1-J616)</f>
        <v>780</v>
      </c>
      <c r="L616" s="6" t="n">
        <f aca="false">H616*INDEX(Products!$E$2:$E$9,MATCH(E616,Products!$A$2:$A$9,0))</f>
        <v>630</v>
      </c>
      <c r="M616" s="8" t="n">
        <f aca="false">K616-L616</f>
        <v>150</v>
      </c>
      <c r="N616" s="2" t="s">
        <v>38</v>
      </c>
      <c r="O616" s="2" t="s">
        <v>36</v>
      </c>
    </row>
    <row r="617" customFormat="false" ht="15" hidden="false" customHeight="false" outlineLevel="0" collapsed="false">
      <c r="A617" s="2" t="s">
        <v>671</v>
      </c>
      <c r="B617" s="3" t="n">
        <v>45930</v>
      </c>
      <c r="C617" s="2" t="s">
        <v>16</v>
      </c>
      <c r="D617" s="2" t="s">
        <v>22</v>
      </c>
      <c r="E617" s="2" t="s">
        <v>18</v>
      </c>
      <c r="F617" s="4" t="str">
        <f aca="false">INDEX(Products!$B$2:$B$9,MATCH(E617,Products!$A$2:$A$9,0))</f>
        <v>Sensor Hub Pro</v>
      </c>
      <c r="G617" s="4" t="str">
        <f aca="false">INDEX(Products!$C$2:$C$9,MATCH(E617,Products!$A$2:$A$9,0))</f>
        <v>Hardware</v>
      </c>
      <c r="H617" s="5" t="n">
        <v>3</v>
      </c>
      <c r="I617" s="6" t="n">
        <f aca="false">INDEX(Products!$D$2:$D$9,MATCH(E617,Products!$A$2:$A$9,0))</f>
        <v>349</v>
      </c>
      <c r="J617" s="7" t="n">
        <v>0</v>
      </c>
      <c r="K617" s="8" t="n">
        <f aca="false">H617*I617*(1-J617)</f>
        <v>1047</v>
      </c>
      <c r="L617" s="6" t="n">
        <f aca="false">H617*INDEX(Products!$E$2:$E$9,MATCH(E617,Products!$A$2:$A$9,0))</f>
        <v>603</v>
      </c>
      <c r="M617" s="8" t="n">
        <f aca="false">K617-L617</f>
        <v>444</v>
      </c>
      <c r="N617" s="2" t="s">
        <v>28</v>
      </c>
      <c r="O617" s="2" t="s">
        <v>20</v>
      </c>
    </row>
    <row r="618" customFormat="false" ht="15" hidden="false" customHeight="false" outlineLevel="0" collapsed="false">
      <c r="A618" s="2" t="s">
        <v>672</v>
      </c>
      <c r="B618" s="3" t="n">
        <v>45931</v>
      </c>
      <c r="C618" s="2" t="s">
        <v>16</v>
      </c>
      <c r="D618" s="2" t="s">
        <v>25</v>
      </c>
      <c r="E618" s="2" t="s">
        <v>23</v>
      </c>
      <c r="F618" s="4" t="str">
        <f aca="false">INDEX(Products!$B$2:$B$9,MATCH(E618,Products!$A$2:$A$9,0))</f>
        <v>Sensor Hub S</v>
      </c>
      <c r="G618" s="4" t="str">
        <f aca="false">INDEX(Products!$C$2:$C$9,MATCH(E618,Products!$A$2:$A$9,0))</f>
        <v>Hardware</v>
      </c>
      <c r="H618" s="5" t="n">
        <v>1</v>
      </c>
      <c r="I618" s="6" t="n">
        <f aca="false">INDEX(Products!$D$2:$D$9,MATCH(E618,Products!$A$2:$A$9,0))</f>
        <v>189</v>
      </c>
      <c r="J618" s="7" t="n">
        <v>0.2</v>
      </c>
      <c r="K618" s="8" t="n">
        <f aca="false">H618*I618*(1-J618)</f>
        <v>151.2</v>
      </c>
      <c r="L618" s="6" t="n">
        <f aca="false">H618*INDEX(Products!$E$2:$E$9,MATCH(E618,Products!$A$2:$A$9,0))</f>
        <v>98</v>
      </c>
      <c r="M618" s="8" t="n">
        <f aca="false">K618-L618</f>
        <v>53.2</v>
      </c>
      <c r="N618" s="2" t="s">
        <v>19</v>
      </c>
      <c r="O618" s="2" t="s">
        <v>36</v>
      </c>
    </row>
    <row r="619" customFormat="false" ht="15" hidden="false" customHeight="false" outlineLevel="0" collapsed="false">
      <c r="A619" s="2" t="s">
        <v>673</v>
      </c>
      <c r="B619" s="3" t="n">
        <v>45931</v>
      </c>
      <c r="C619" s="2" t="s">
        <v>41</v>
      </c>
      <c r="D619" s="2" t="s">
        <v>66</v>
      </c>
      <c r="E619" s="2" t="s">
        <v>26</v>
      </c>
      <c r="F619" s="4" t="str">
        <f aca="false">INDEX(Products!$B$2:$B$9,MATCH(E619,Products!$A$2:$A$9,0))</f>
        <v>Analytics Basic</v>
      </c>
      <c r="G619" s="4" t="str">
        <f aca="false">INDEX(Products!$C$2:$C$9,MATCH(E619,Products!$A$2:$A$9,0))</f>
        <v>Software</v>
      </c>
      <c r="H619" s="5" t="n">
        <v>1</v>
      </c>
      <c r="I619" s="6" t="n">
        <f aca="false">INDEX(Products!$D$2:$D$9,MATCH(E619,Products!$A$2:$A$9,0))</f>
        <v>120</v>
      </c>
      <c r="J619" s="7" t="n">
        <v>0.1</v>
      </c>
      <c r="K619" s="8" t="n">
        <f aca="false">H619*I619*(1-J619)</f>
        <v>108</v>
      </c>
      <c r="L619" s="6" t="n">
        <f aca="false">H619*INDEX(Products!$E$2:$E$9,MATCH(E619,Products!$A$2:$A$9,0))</f>
        <v>18</v>
      </c>
      <c r="M619" s="8" t="n">
        <f aca="false">K619-L619</f>
        <v>90</v>
      </c>
      <c r="N619" s="2" t="s">
        <v>19</v>
      </c>
      <c r="O619" s="2" t="s">
        <v>52</v>
      </c>
    </row>
    <row r="620" customFormat="false" ht="15" hidden="false" customHeight="false" outlineLevel="0" collapsed="false">
      <c r="A620" s="2" t="s">
        <v>674</v>
      </c>
      <c r="B620" s="3" t="n">
        <v>45931</v>
      </c>
      <c r="C620" s="2" t="s">
        <v>30</v>
      </c>
      <c r="D620" s="2" t="s">
        <v>31</v>
      </c>
      <c r="E620" s="2" t="s">
        <v>49</v>
      </c>
      <c r="F620" s="4" t="str">
        <f aca="false">INDEX(Products!$B$2:$B$9,MATCH(E620,Products!$A$2:$A$9,0))</f>
        <v>Mounting Kit</v>
      </c>
      <c r="G620" s="4" t="str">
        <f aca="false">INDEX(Products!$C$2:$C$9,MATCH(E620,Products!$A$2:$A$9,0))</f>
        <v>Accessories</v>
      </c>
      <c r="H620" s="5" t="n">
        <v>12</v>
      </c>
      <c r="I620" s="6" t="n">
        <f aca="false">INDEX(Products!$D$2:$D$9,MATCH(E620,Products!$A$2:$A$9,0))</f>
        <v>39</v>
      </c>
      <c r="J620" s="7" t="n">
        <v>0.05</v>
      </c>
      <c r="K620" s="8" t="n">
        <f aca="false">H620*I620*(1-J620)</f>
        <v>444.6</v>
      </c>
      <c r="L620" s="6" t="n">
        <f aca="false">H620*INDEX(Products!$E$2:$E$9,MATCH(E620,Products!$A$2:$A$9,0))</f>
        <v>378</v>
      </c>
      <c r="M620" s="8" t="n">
        <f aca="false">K620-L620</f>
        <v>66.6</v>
      </c>
      <c r="N620" s="2" t="s">
        <v>38</v>
      </c>
      <c r="O620" s="2" t="s">
        <v>33</v>
      </c>
    </row>
    <row r="621" customFormat="false" ht="15" hidden="false" customHeight="false" outlineLevel="0" collapsed="false">
      <c r="A621" s="2" t="s">
        <v>675</v>
      </c>
      <c r="B621" s="3" t="n">
        <v>45931</v>
      </c>
      <c r="C621" s="2" t="s">
        <v>47</v>
      </c>
      <c r="D621" s="2" t="s">
        <v>71</v>
      </c>
      <c r="E621" s="2" t="s">
        <v>61</v>
      </c>
      <c r="F621" s="4" t="str">
        <f aca="false">INDEX(Products!$B$2:$B$9,MATCH(E621,Products!$A$2:$A$9,0))</f>
        <v>Install Service</v>
      </c>
      <c r="G621" s="4" t="str">
        <f aca="false">INDEX(Products!$C$2:$C$9,MATCH(E621,Products!$A$2:$A$9,0))</f>
        <v>Services</v>
      </c>
      <c r="H621" s="5" t="n">
        <v>1</v>
      </c>
      <c r="I621" s="6" t="n">
        <f aca="false">INDEX(Products!$D$2:$D$9,MATCH(E621,Products!$A$2:$A$9,0))</f>
        <v>450</v>
      </c>
      <c r="J621" s="7" t="n">
        <v>0.15</v>
      </c>
      <c r="K621" s="8" t="n">
        <f aca="false">H621*I621*(1-J621)</f>
        <v>382.5</v>
      </c>
      <c r="L621" s="6" t="n">
        <f aca="false">H621*INDEX(Products!$E$2:$E$9,MATCH(E621,Products!$A$2:$A$9,0))</f>
        <v>310</v>
      </c>
      <c r="M621" s="8" t="n">
        <f aca="false">K621-L621</f>
        <v>72.5</v>
      </c>
      <c r="N621" s="2" t="s">
        <v>28</v>
      </c>
      <c r="O621" s="2" t="s">
        <v>50</v>
      </c>
    </row>
    <row r="622" customFormat="false" ht="15" hidden="false" customHeight="false" outlineLevel="0" collapsed="false">
      <c r="A622" s="2" t="s">
        <v>676</v>
      </c>
      <c r="B622" s="3" t="n">
        <v>45931</v>
      </c>
      <c r="C622" s="2" t="s">
        <v>59</v>
      </c>
      <c r="D622" s="2" t="s">
        <v>101</v>
      </c>
      <c r="E622" s="2" t="s">
        <v>23</v>
      </c>
      <c r="F622" s="4" t="str">
        <f aca="false">INDEX(Products!$B$2:$B$9,MATCH(E622,Products!$A$2:$A$9,0))</f>
        <v>Sensor Hub S</v>
      </c>
      <c r="G622" s="4" t="str">
        <f aca="false">INDEX(Products!$C$2:$C$9,MATCH(E622,Products!$A$2:$A$9,0))</f>
        <v>Hardware</v>
      </c>
      <c r="H622" s="5" t="n">
        <v>4</v>
      </c>
      <c r="I622" s="6" t="n">
        <f aca="false">INDEX(Products!$D$2:$D$9,MATCH(E622,Products!$A$2:$A$9,0))</f>
        <v>189</v>
      </c>
      <c r="J622" s="7" t="n">
        <v>0.1</v>
      </c>
      <c r="K622" s="8" t="n">
        <f aca="false">H622*I622*(1-J622)</f>
        <v>680.4</v>
      </c>
      <c r="L622" s="6" t="n">
        <f aca="false">H622*INDEX(Products!$E$2:$E$9,MATCH(E622,Products!$A$2:$A$9,0))</f>
        <v>392</v>
      </c>
      <c r="M622" s="8" t="n">
        <f aca="false">K622-L622</f>
        <v>288.4</v>
      </c>
      <c r="N622" s="2" t="s">
        <v>28</v>
      </c>
      <c r="O622" s="2" t="s">
        <v>62</v>
      </c>
    </row>
    <row r="623" customFormat="false" ht="15" hidden="false" customHeight="false" outlineLevel="0" collapsed="false">
      <c r="A623" s="2" t="s">
        <v>677</v>
      </c>
      <c r="B623" s="3" t="n">
        <v>45932</v>
      </c>
      <c r="C623" s="2" t="s">
        <v>47</v>
      </c>
      <c r="D623" s="2" t="s">
        <v>55</v>
      </c>
      <c r="E623" s="2" t="s">
        <v>32</v>
      </c>
      <c r="F623" s="4" t="str">
        <f aca="false">INDEX(Products!$B$2:$B$9,MATCH(E623,Products!$A$2:$A$9,0))</f>
        <v>Analytics Plus</v>
      </c>
      <c r="G623" s="4" t="str">
        <f aca="false">INDEX(Products!$C$2:$C$9,MATCH(E623,Products!$A$2:$A$9,0))</f>
        <v>Software</v>
      </c>
      <c r="H623" s="5" t="n">
        <v>1</v>
      </c>
      <c r="I623" s="6" t="n">
        <f aca="false">INDEX(Products!$D$2:$D$9,MATCH(E623,Products!$A$2:$A$9,0))</f>
        <v>290</v>
      </c>
      <c r="J623" s="7" t="n">
        <v>0.15</v>
      </c>
      <c r="K623" s="8" t="n">
        <f aca="false">H623*I623*(1-J623)</f>
        <v>246.5</v>
      </c>
      <c r="L623" s="6" t="n">
        <f aca="false">H623*INDEX(Products!$E$2:$E$9,MATCH(E623,Products!$A$2:$A$9,0))</f>
        <v>41</v>
      </c>
      <c r="M623" s="8" t="n">
        <f aca="false">K623-L623</f>
        <v>205.5</v>
      </c>
      <c r="N623" s="2" t="s">
        <v>19</v>
      </c>
      <c r="O623" s="2" t="s">
        <v>50</v>
      </c>
    </row>
    <row r="624" customFormat="false" ht="15" hidden="false" customHeight="false" outlineLevel="0" collapsed="false">
      <c r="A624" s="2" t="s">
        <v>678</v>
      </c>
      <c r="B624" s="3" t="n">
        <v>45932</v>
      </c>
      <c r="C624" s="2" t="s">
        <v>47</v>
      </c>
      <c r="D624" s="2" t="s">
        <v>157</v>
      </c>
      <c r="E624" s="2" t="s">
        <v>68</v>
      </c>
      <c r="F624" s="4" t="str">
        <f aca="false">INDEX(Products!$B$2:$B$9,MATCH(E624,Products!$A$2:$A$9,0))</f>
        <v>Premium Support</v>
      </c>
      <c r="G624" s="4" t="str">
        <f aca="false">INDEX(Products!$C$2:$C$9,MATCH(E624,Products!$A$2:$A$9,0))</f>
        <v>Services</v>
      </c>
      <c r="H624" s="5" t="n">
        <v>1</v>
      </c>
      <c r="I624" s="6" t="n">
        <f aca="false">INDEX(Products!$D$2:$D$9,MATCH(E624,Products!$A$2:$A$9,0))</f>
        <v>600</v>
      </c>
      <c r="J624" s="7" t="n">
        <v>0.1</v>
      </c>
      <c r="K624" s="8" t="n">
        <f aca="false">H624*I624*(1-J624)</f>
        <v>540</v>
      </c>
      <c r="L624" s="6" t="n">
        <f aca="false">H624*INDEX(Products!$E$2:$E$9,MATCH(E624,Products!$A$2:$A$9,0))</f>
        <v>395</v>
      </c>
      <c r="M624" s="8" t="n">
        <f aca="false">K624-L624</f>
        <v>145</v>
      </c>
      <c r="N624" s="2" t="s">
        <v>19</v>
      </c>
      <c r="O624" s="2" t="s">
        <v>50</v>
      </c>
    </row>
    <row r="625" customFormat="false" ht="15" hidden="false" customHeight="false" outlineLevel="0" collapsed="false">
      <c r="A625" s="2" t="s">
        <v>679</v>
      </c>
      <c r="B625" s="3" t="n">
        <v>45932</v>
      </c>
      <c r="C625" s="2" t="s">
        <v>59</v>
      </c>
      <c r="D625" s="2" t="s">
        <v>91</v>
      </c>
      <c r="E625" s="2" t="s">
        <v>57</v>
      </c>
      <c r="F625" s="4" t="str">
        <f aca="false">INDEX(Products!$B$2:$B$9,MATCH(E625,Products!$A$2:$A$9,0))</f>
        <v>Edge Gateway</v>
      </c>
      <c r="G625" s="4" t="str">
        <f aca="false">INDEX(Products!$C$2:$C$9,MATCH(E625,Products!$A$2:$A$9,0))</f>
        <v>Hardware</v>
      </c>
      <c r="H625" s="5" t="n">
        <v>2</v>
      </c>
      <c r="I625" s="6" t="n">
        <f aca="false">INDEX(Products!$D$2:$D$9,MATCH(E625,Products!$A$2:$A$9,0))</f>
        <v>899</v>
      </c>
      <c r="J625" s="7" t="n">
        <v>0</v>
      </c>
      <c r="K625" s="8" t="n">
        <f aca="false">H625*I625*(1-J625)</f>
        <v>1798</v>
      </c>
      <c r="L625" s="6" t="n">
        <f aca="false">H625*INDEX(Products!$E$2:$E$9,MATCH(E625,Products!$A$2:$A$9,0))</f>
        <v>1224</v>
      </c>
      <c r="M625" s="8" t="n">
        <f aca="false">K625-L625</f>
        <v>574</v>
      </c>
      <c r="N625" s="2" t="s">
        <v>28</v>
      </c>
      <c r="O625" s="2" t="s">
        <v>62</v>
      </c>
    </row>
    <row r="626" customFormat="false" ht="15" hidden="false" customHeight="false" outlineLevel="0" collapsed="false">
      <c r="A626" s="2" t="s">
        <v>680</v>
      </c>
      <c r="B626" s="3" t="n">
        <v>45932</v>
      </c>
      <c r="C626" s="2" t="s">
        <v>47</v>
      </c>
      <c r="D626" s="2" t="s">
        <v>48</v>
      </c>
      <c r="E626" s="2" t="s">
        <v>57</v>
      </c>
      <c r="F626" s="4" t="str">
        <f aca="false">INDEX(Products!$B$2:$B$9,MATCH(E626,Products!$A$2:$A$9,0))</f>
        <v>Edge Gateway</v>
      </c>
      <c r="G626" s="4" t="str">
        <f aca="false">INDEX(Products!$C$2:$C$9,MATCH(E626,Products!$A$2:$A$9,0))</f>
        <v>Hardware</v>
      </c>
      <c r="H626" s="5" t="n">
        <v>8</v>
      </c>
      <c r="I626" s="6" t="n">
        <f aca="false">INDEX(Products!$D$2:$D$9,MATCH(E626,Products!$A$2:$A$9,0))</f>
        <v>899</v>
      </c>
      <c r="J626" s="7" t="n">
        <v>0</v>
      </c>
      <c r="K626" s="8" t="n">
        <f aca="false">H626*I626*(1-J626)</f>
        <v>7192</v>
      </c>
      <c r="L626" s="6" t="n">
        <f aca="false">H626*INDEX(Products!$E$2:$E$9,MATCH(E626,Products!$A$2:$A$9,0))</f>
        <v>4896</v>
      </c>
      <c r="M626" s="8" t="n">
        <f aca="false">K626-L626</f>
        <v>2296</v>
      </c>
      <c r="N626" s="2" t="s">
        <v>28</v>
      </c>
      <c r="O626" s="2" t="s">
        <v>72</v>
      </c>
    </row>
    <row r="627" customFormat="false" ht="15" hidden="false" customHeight="false" outlineLevel="0" collapsed="false">
      <c r="A627" s="2" t="s">
        <v>681</v>
      </c>
      <c r="B627" s="3" t="n">
        <v>45932</v>
      </c>
      <c r="C627" s="2" t="s">
        <v>41</v>
      </c>
      <c r="D627" s="2" t="s">
        <v>42</v>
      </c>
      <c r="E627" s="2" t="s">
        <v>68</v>
      </c>
      <c r="F627" s="4" t="str">
        <f aca="false">INDEX(Products!$B$2:$B$9,MATCH(E627,Products!$A$2:$A$9,0))</f>
        <v>Premium Support</v>
      </c>
      <c r="G627" s="4" t="str">
        <f aca="false">INDEX(Products!$C$2:$C$9,MATCH(E627,Products!$A$2:$A$9,0))</f>
        <v>Services</v>
      </c>
      <c r="H627" s="5" t="n">
        <v>3</v>
      </c>
      <c r="I627" s="6" t="n">
        <f aca="false">INDEX(Products!$D$2:$D$9,MATCH(E627,Products!$A$2:$A$9,0))</f>
        <v>600</v>
      </c>
      <c r="J627" s="7" t="n">
        <v>0.05</v>
      </c>
      <c r="K627" s="8" t="n">
        <f aca="false">H627*I627*(1-J627)</f>
        <v>1710</v>
      </c>
      <c r="L627" s="6" t="n">
        <f aca="false">H627*INDEX(Products!$E$2:$E$9,MATCH(E627,Products!$A$2:$A$9,0))</f>
        <v>1185</v>
      </c>
      <c r="M627" s="8" t="n">
        <f aca="false">K627-L627</f>
        <v>525</v>
      </c>
      <c r="N627" s="2" t="s">
        <v>28</v>
      </c>
      <c r="O627" s="2" t="s">
        <v>43</v>
      </c>
    </row>
    <row r="628" customFormat="false" ht="15" hidden="false" customHeight="false" outlineLevel="0" collapsed="false">
      <c r="A628" s="2" t="s">
        <v>682</v>
      </c>
      <c r="B628" s="3" t="n">
        <v>45933</v>
      </c>
      <c r="C628" s="2" t="s">
        <v>30</v>
      </c>
      <c r="D628" s="2" t="s">
        <v>77</v>
      </c>
      <c r="E628" s="2" t="s">
        <v>61</v>
      </c>
      <c r="F628" s="4" t="str">
        <f aca="false">INDEX(Products!$B$2:$B$9,MATCH(E628,Products!$A$2:$A$9,0))</f>
        <v>Install Service</v>
      </c>
      <c r="G628" s="4" t="str">
        <f aca="false">INDEX(Products!$C$2:$C$9,MATCH(E628,Products!$A$2:$A$9,0))</f>
        <v>Services</v>
      </c>
      <c r="H628" s="5" t="n">
        <v>2</v>
      </c>
      <c r="I628" s="6" t="n">
        <f aca="false">INDEX(Products!$D$2:$D$9,MATCH(E628,Products!$A$2:$A$9,0))</f>
        <v>450</v>
      </c>
      <c r="J628" s="7" t="n">
        <v>0.1</v>
      </c>
      <c r="K628" s="8" t="n">
        <f aca="false">H628*I628*(1-J628)</f>
        <v>810</v>
      </c>
      <c r="L628" s="6" t="n">
        <f aca="false">H628*INDEX(Products!$E$2:$E$9,MATCH(E628,Products!$A$2:$A$9,0))</f>
        <v>620</v>
      </c>
      <c r="M628" s="8" t="n">
        <f aca="false">K628-L628</f>
        <v>190</v>
      </c>
      <c r="N628" s="2" t="s">
        <v>19</v>
      </c>
      <c r="O628" s="2" t="s">
        <v>33</v>
      </c>
    </row>
    <row r="629" customFormat="false" ht="15" hidden="false" customHeight="false" outlineLevel="0" collapsed="false">
      <c r="A629" s="2" t="s">
        <v>683</v>
      </c>
      <c r="B629" s="3" t="n">
        <v>45933</v>
      </c>
      <c r="C629" s="2" t="s">
        <v>16</v>
      </c>
      <c r="D629" s="2" t="s">
        <v>35</v>
      </c>
      <c r="E629" s="2" t="s">
        <v>49</v>
      </c>
      <c r="F629" s="4" t="str">
        <f aca="false">INDEX(Products!$B$2:$B$9,MATCH(E629,Products!$A$2:$A$9,0))</f>
        <v>Mounting Kit</v>
      </c>
      <c r="G629" s="4" t="str">
        <f aca="false">INDEX(Products!$C$2:$C$9,MATCH(E629,Products!$A$2:$A$9,0))</f>
        <v>Accessories</v>
      </c>
      <c r="H629" s="5" t="n">
        <v>20</v>
      </c>
      <c r="I629" s="6" t="n">
        <f aca="false">INDEX(Products!$D$2:$D$9,MATCH(E629,Products!$A$2:$A$9,0))</f>
        <v>39</v>
      </c>
      <c r="J629" s="7" t="n">
        <v>0.2</v>
      </c>
      <c r="K629" s="8" t="n">
        <f aca="false">H629*I629*(1-J629)</f>
        <v>624</v>
      </c>
      <c r="L629" s="6" t="n">
        <f aca="false">H629*INDEX(Products!$E$2:$E$9,MATCH(E629,Products!$A$2:$A$9,0))</f>
        <v>630</v>
      </c>
      <c r="M629" s="8" t="n">
        <f aca="false">K629-L629</f>
        <v>-6</v>
      </c>
      <c r="N629" s="2" t="s">
        <v>19</v>
      </c>
      <c r="O629" s="2" t="s">
        <v>20</v>
      </c>
    </row>
    <row r="630" customFormat="false" ht="15" hidden="false" customHeight="false" outlineLevel="0" collapsed="false">
      <c r="A630" s="2" t="s">
        <v>684</v>
      </c>
      <c r="B630" s="3" t="n">
        <v>45933</v>
      </c>
      <c r="C630" s="2" t="s">
        <v>47</v>
      </c>
      <c r="D630" s="2" t="s">
        <v>48</v>
      </c>
      <c r="E630" s="2" t="s">
        <v>26</v>
      </c>
      <c r="F630" s="4" t="str">
        <f aca="false">INDEX(Products!$B$2:$B$9,MATCH(E630,Products!$A$2:$A$9,0))</f>
        <v>Analytics Basic</v>
      </c>
      <c r="G630" s="4" t="str">
        <f aca="false">INDEX(Products!$C$2:$C$9,MATCH(E630,Products!$A$2:$A$9,0))</f>
        <v>Software</v>
      </c>
      <c r="H630" s="5" t="n">
        <v>3</v>
      </c>
      <c r="I630" s="6" t="n">
        <f aca="false">INDEX(Products!$D$2:$D$9,MATCH(E630,Products!$A$2:$A$9,0))</f>
        <v>120</v>
      </c>
      <c r="J630" s="7" t="n">
        <v>0</v>
      </c>
      <c r="K630" s="8" t="n">
        <f aca="false">H630*I630*(1-J630)</f>
        <v>360</v>
      </c>
      <c r="L630" s="6" t="n">
        <f aca="false">H630*INDEX(Products!$E$2:$E$9,MATCH(E630,Products!$A$2:$A$9,0))</f>
        <v>54</v>
      </c>
      <c r="M630" s="8" t="n">
        <f aca="false">K630-L630</f>
        <v>306</v>
      </c>
      <c r="N630" s="2" t="s">
        <v>28</v>
      </c>
      <c r="O630" s="2" t="s">
        <v>72</v>
      </c>
    </row>
    <row r="631" customFormat="false" ht="15" hidden="false" customHeight="false" outlineLevel="0" collapsed="false">
      <c r="A631" s="2" t="s">
        <v>685</v>
      </c>
      <c r="B631" s="3" t="n">
        <v>45933</v>
      </c>
      <c r="C631" s="2" t="s">
        <v>16</v>
      </c>
      <c r="D631" s="2" t="s">
        <v>35</v>
      </c>
      <c r="E631" s="2" t="s">
        <v>18</v>
      </c>
      <c r="F631" s="4" t="str">
        <f aca="false">INDEX(Products!$B$2:$B$9,MATCH(E631,Products!$A$2:$A$9,0))</f>
        <v>Sensor Hub Pro</v>
      </c>
      <c r="G631" s="4" t="str">
        <f aca="false">INDEX(Products!$C$2:$C$9,MATCH(E631,Products!$A$2:$A$9,0))</f>
        <v>Hardware</v>
      </c>
      <c r="H631" s="5" t="n">
        <v>20</v>
      </c>
      <c r="I631" s="6" t="n">
        <f aca="false">INDEX(Products!$D$2:$D$9,MATCH(E631,Products!$A$2:$A$9,0))</f>
        <v>349</v>
      </c>
      <c r="J631" s="7" t="n">
        <v>0.1</v>
      </c>
      <c r="K631" s="8" t="n">
        <f aca="false">H631*I631*(1-J631)</f>
        <v>6282</v>
      </c>
      <c r="L631" s="6" t="n">
        <f aca="false">H631*INDEX(Products!$E$2:$E$9,MATCH(E631,Products!$A$2:$A$9,0))</f>
        <v>4020</v>
      </c>
      <c r="M631" s="8" t="n">
        <f aca="false">K631-L631</f>
        <v>2262</v>
      </c>
      <c r="N631" s="2" t="s">
        <v>28</v>
      </c>
      <c r="O631" s="2" t="s">
        <v>20</v>
      </c>
    </row>
    <row r="632" customFormat="false" ht="15" hidden="false" customHeight="false" outlineLevel="0" collapsed="false">
      <c r="A632" s="2" t="s">
        <v>686</v>
      </c>
      <c r="B632" s="3" t="n">
        <v>45935</v>
      </c>
      <c r="C632" s="2" t="s">
        <v>16</v>
      </c>
      <c r="D632" s="2" t="s">
        <v>22</v>
      </c>
      <c r="E632" s="2" t="s">
        <v>23</v>
      </c>
      <c r="F632" s="4" t="str">
        <f aca="false">INDEX(Products!$B$2:$B$9,MATCH(E632,Products!$A$2:$A$9,0))</f>
        <v>Sensor Hub S</v>
      </c>
      <c r="G632" s="4" t="str">
        <f aca="false">INDEX(Products!$C$2:$C$9,MATCH(E632,Products!$A$2:$A$9,0))</f>
        <v>Hardware</v>
      </c>
      <c r="H632" s="5" t="n">
        <v>20</v>
      </c>
      <c r="I632" s="6" t="n">
        <f aca="false">INDEX(Products!$D$2:$D$9,MATCH(E632,Products!$A$2:$A$9,0))</f>
        <v>189</v>
      </c>
      <c r="J632" s="7" t="n">
        <v>0</v>
      </c>
      <c r="K632" s="8" t="n">
        <f aca="false">H632*I632*(1-J632)</f>
        <v>3780</v>
      </c>
      <c r="L632" s="6" t="n">
        <f aca="false">H632*INDEX(Products!$E$2:$E$9,MATCH(E632,Products!$A$2:$A$9,0))</f>
        <v>1960</v>
      </c>
      <c r="M632" s="8" t="n">
        <f aca="false">K632-L632</f>
        <v>1820</v>
      </c>
      <c r="N632" s="2" t="s">
        <v>38</v>
      </c>
      <c r="O632" s="2" t="s">
        <v>20</v>
      </c>
    </row>
    <row r="633" customFormat="false" ht="15" hidden="false" customHeight="false" outlineLevel="0" collapsed="false">
      <c r="A633" s="2" t="s">
        <v>687</v>
      </c>
      <c r="B633" s="3" t="n">
        <v>45936</v>
      </c>
      <c r="C633" s="2" t="s">
        <v>47</v>
      </c>
      <c r="D633" s="2" t="s">
        <v>71</v>
      </c>
      <c r="E633" s="2" t="s">
        <v>61</v>
      </c>
      <c r="F633" s="4" t="str">
        <f aca="false">INDEX(Products!$B$2:$B$9,MATCH(E633,Products!$A$2:$A$9,0))</f>
        <v>Install Service</v>
      </c>
      <c r="G633" s="4" t="str">
        <f aca="false">INDEX(Products!$C$2:$C$9,MATCH(E633,Products!$A$2:$A$9,0))</f>
        <v>Services</v>
      </c>
      <c r="H633" s="5" t="n">
        <v>1</v>
      </c>
      <c r="I633" s="6" t="n">
        <f aca="false">INDEX(Products!$D$2:$D$9,MATCH(E633,Products!$A$2:$A$9,0))</f>
        <v>450</v>
      </c>
      <c r="J633" s="7" t="n">
        <v>0</v>
      </c>
      <c r="K633" s="8" t="n">
        <f aca="false">H633*I633*(1-J633)</f>
        <v>450</v>
      </c>
      <c r="L633" s="6" t="n">
        <f aca="false">H633*INDEX(Products!$E$2:$E$9,MATCH(E633,Products!$A$2:$A$9,0))</f>
        <v>310</v>
      </c>
      <c r="M633" s="8" t="n">
        <f aca="false">K633-L633</f>
        <v>140</v>
      </c>
      <c r="N633" s="2" t="s">
        <v>28</v>
      </c>
      <c r="O633" s="2" t="s">
        <v>72</v>
      </c>
    </row>
    <row r="634" customFormat="false" ht="15" hidden="false" customHeight="false" outlineLevel="0" collapsed="false">
      <c r="A634" s="2" t="s">
        <v>688</v>
      </c>
      <c r="B634" s="3" t="n">
        <v>45936</v>
      </c>
      <c r="C634" s="2" t="s">
        <v>30</v>
      </c>
      <c r="D634" s="2" t="s">
        <v>128</v>
      </c>
      <c r="E634" s="2" t="s">
        <v>32</v>
      </c>
      <c r="F634" s="4" t="str">
        <f aca="false">INDEX(Products!$B$2:$B$9,MATCH(E634,Products!$A$2:$A$9,0))</f>
        <v>Analytics Plus</v>
      </c>
      <c r="G634" s="4" t="str">
        <f aca="false">INDEX(Products!$C$2:$C$9,MATCH(E634,Products!$A$2:$A$9,0))</f>
        <v>Software</v>
      </c>
      <c r="H634" s="5" t="n">
        <v>1</v>
      </c>
      <c r="I634" s="6" t="n">
        <f aca="false">INDEX(Products!$D$2:$D$9,MATCH(E634,Products!$A$2:$A$9,0))</f>
        <v>290</v>
      </c>
      <c r="J634" s="7" t="n">
        <v>0.05</v>
      </c>
      <c r="K634" s="8" t="n">
        <f aca="false">H634*I634*(1-J634)</f>
        <v>275.5</v>
      </c>
      <c r="L634" s="6" t="n">
        <f aca="false">H634*INDEX(Products!$E$2:$E$9,MATCH(E634,Products!$A$2:$A$9,0))</f>
        <v>41</v>
      </c>
      <c r="M634" s="8" t="n">
        <f aca="false">K634-L634</f>
        <v>234.5</v>
      </c>
      <c r="N634" s="2" t="s">
        <v>28</v>
      </c>
      <c r="O634" s="2" t="s">
        <v>33</v>
      </c>
    </row>
    <row r="635" customFormat="false" ht="15" hidden="false" customHeight="false" outlineLevel="0" collapsed="false">
      <c r="A635" s="2" t="s">
        <v>689</v>
      </c>
      <c r="B635" s="3" t="n">
        <v>45936</v>
      </c>
      <c r="C635" s="2" t="s">
        <v>30</v>
      </c>
      <c r="D635" s="2" t="s">
        <v>77</v>
      </c>
      <c r="E635" s="2" t="s">
        <v>23</v>
      </c>
      <c r="F635" s="4" t="str">
        <f aca="false">INDEX(Products!$B$2:$B$9,MATCH(E635,Products!$A$2:$A$9,0))</f>
        <v>Sensor Hub S</v>
      </c>
      <c r="G635" s="4" t="str">
        <f aca="false">INDEX(Products!$C$2:$C$9,MATCH(E635,Products!$A$2:$A$9,0))</f>
        <v>Hardware</v>
      </c>
      <c r="H635" s="5" t="n">
        <v>2</v>
      </c>
      <c r="I635" s="6" t="n">
        <f aca="false">INDEX(Products!$D$2:$D$9,MATCH(E635,Products!$A$2:$A$9,0))</f>
        <v>189</v>
      </c>
      <c r="J635" s="7" t="n">
        <v>0</v>
      </c>
      <c r="K635" s="8" t="n">
        <f aca="false">H635*I635*(1-J635)</f>
        <v>378</v>
      </c>
      <c r="L635" s="6" t="n">
        <f aca="false">H635*INDEX(Products!$E$2:$E$9,MATCH(E635,Products!$A$2:$A$9,0))</f>
        <v>196</v>
      </c>
      <c r="M635" s="8" t="n">
        <f aca="false">K635-L635</f>
        <v>182</v>
      </c>
      <c r="N635" s="2" t="s">
        <v>28</v>
      </c>
      <c r="O635" s="2" t="s">
        <v>33</v>
      </c>
    </row>
    <row r="636" customFormat="false" ht="15" hidden="false" customHeight="false" outlineLevel="0" collapsed="false">
      <c r="A636" s="2" t="s">
        <v>690</v>
      </c>
      <c r="B636" s="3" t="n">
        <v>45937</v>
      </c>
      <c r="C636" s="2" t="s">
        <v>41</v>
      </c>
      <c r="D636" s="2" t="s">
        <v>66</v>
      </c>
      <c r="E636" s="2" t="s">
        <v>32</v>
      </c>
      <c r="F636" s="4" t="str">
        <f aca="false">INDEX(Products!$B$2:$B$9,MATCH(E636,Products!$A$2:$A$9,0))</f>
        <v>Analytics Plus</v>
      </c>
      <c r="G636" s="4" t="str">
        <f aca="false">INDEX(Products!$C$2:$C$9,MATCH(E636,Products!$A$2:$A$9,0))</f>
        <v>Software</v>
      </c>
      <c r="H636" s="5" t="n">
        <v>2</v>
      </c>
      <c r="I636" s="6" t="n">
        <f aca="false">INDEX(Products!$D$2:$D$9,MATCH(E636,Products!$A$2:$A$9,0))</f>
        <v>290</v>
      </c>
      <c r="J636" s="7" t="n">
        <v>0.05</v>
      </c>
      <c r="K636" s="8" t="n">
        <f aca="false">H636*I636*(1-J636)</f>
        <v>551</v>
      </c>
      <c r="L636" s="6" t="n">
        <f aca="false">H636*INDEX(Products!$E$2:$E$9,MATCH(E636,Products!$A$2:$A$9,0))</f>
        <v>82</v>
      </c>
      <c r="M636" s="8" t="n">
        <f aca="false">K636-L636</f>
        <v>469</v>
      </c>
      <c r="N636" s="2" t="s">
        <v>28</v>
      </c>
      <c r="O636" s="2" t="s">
        <v>52</v>
      </c>
    </row>
    <row r="637" customFormat="false" ht="15" hidden="false" customHeight="false" outlineLevel="0" collapsed="false">
      <c r="A637" s="2" t="s">
        <v>691</v>
      </c>
      <c r="B637" s="3" t="n">
        <v>45937</v>
      </c>
      <c r="C637" s="2" t="s">
        <v>47</v>
      </c>
      <c r="D637" s="2" t="s">
        <v>157</v>
      </c>
      <c r="E637" s="2" t="s">
        <v>23</v>
      </c>
      <c r="F637" s="4" t="str">
        <f aca="false">INDEX(Products!$B$2:$B$9,MATCH(E637,Products!$A$2:$A$9,0))</f>
        <v>Sensor Hub S</v>
      </c>
      <c r="G637" s="4" t="str">
        <f aca="false">INDEX(Products!$C$2:$C$9,MATCH(E637,Products!$A$2:$A$9,0))</f>
        <v>Hardware</v>
      </c>
      <c r="H637" s="5" t="n">
        <v>1</v>
      </c>
      <c r="I637" s="6" t="n">
        <f aca="false">INDEX(Products!$D$2:$D$9,MATCH(E637,Products!$A$2:$A$9,0))</f>
        <v>189</v>
      </c>
      <c r="J637" s="7" t="n">
        <v>0</v>
      </c>
      <c r="K637" s="8" t="n">
        <f aca="false">H637*I637*(1-J637)</f>
        <v>189</v>
      </c>
      <c r="L637" s="6" t="n">
        <f aca="false">H637*INDEX(Products!$E$2:$E$9,MATCH(E637,Products!$A$2:$A$9,0))</f>
        <v>98</v>
      </c>
      <c r="M637" s="8" t="n">
        <f aca="false">K637-L637</f>
        <v>91</v>
      </c>
      <c r="N637" s="2" t="s">
        <v>28</v>
      </c>
      <c r="O637" s="2" t="s">
        <v>72</v>
      </c>
    </row>
    <row r="638" customFormat="false" ht="15" hidden="false" customHeight="false" outlineLevel="0" collapsed="false">
      <c r="A638" s="2" t="s">
        <v>692</v>
      </c>
      <c r="B638" s="3" t="n">
        <v>45937</v>
      </c>
      <c r="C638" s="2" t="s">
        <v>16</v>
      </c>
      <c r="D638" s="2" t="s">
        <v>17</v>
      </c>
      <c r="E638" s="2" t="s">
        <v>57</v>
      </c>
      <c r="F638" s="4" t="str">
        <f aca="false">INDEX(Products!$B$2:$B$9,MATCH(E638,Products!$A$2:$A$9,0))</f>
        <v>Edge Gateway</v>
      </c>
      <c r="G638" s="4" t="str">
        <f aca="false">INDEX(Products!$C$2:$C$9,MATCH(E638,Products!$A$2:$A$9,0))</f>
        <v>Hardware</v>
      </c>
      <c r="H638" s="5" t="n">
        <v>1</v>
      </c>
      <c r="I638" s="6" t="n">
        <f aca="false">INDEX(Products!$D$2:$D$9,MATCH(E638,Products!$A$2:$A$9,0))</f>
        <v>899</v>
      </c>
      <c r="J638" s="7" t="n">
        <v>0.05</v>
      </c>
      <c r="K638" s="8" t="n">
        <f aca="false">H638*I638*(1-J638)</f>
        <v>854.05</v>
      </c>
      <c r="L638" s="6" t="n">
        <f aca="false">H638*INDEX(Products!$E$2:$E$9,MATCH(E638,Products!$A$2:$A$9,0))</f>
        <v>612</v>
      </c>
      <c r="M638" s="8" t="n">
        <f aca="false">K638-L638</f>
        <v>242.05</v>
      </c>
      <c r="N638" s="2" t="s">
        <v>28</v>
      </c>
      <c r="O638" s="2" t="s">
        <v>36</v>
      </c>
    </row>
    <row r="639" customFormat="false" ht="15" hidden="false" customHeight="false" outlineLevel="0" collapsed="false">
      <c r="A639" s="2" t="s">
        <v>693</v>
      </c>
      <c r="B639" s="3" t="n">
        <v>45937</v>
      </c>
      <c r="C639" s="2" t="s">
        <v>41</v>
      </c>
      <c r="D639" s="2" t="s">
        <v>42</v>
      </c>
      <c r="E639" s="2" t="s">
        <v>26</v>
      </c>
      <c r="F639" s="4" t="str">
        <f aca="false">INDEX(Products!$B$2:$B$9,MATCH(E639,Products!$A$2:$A$9,0))</f>
        <v>Analytics Basic</v>
      </c>
      <c r="G639" s="4" t="str">
        <f aca="false">INDEX(Products!$C$2:$C$9,MATCH(E639,Products!$A$2:$A$9,0))</f>
        <v>Software</v>
      </c>
      <c r="H639" s="5" t="n">
        <v>1</v>
      </c>
      <c r="I639" s="6" t="n">
        <f aca="false">INDEX(Products!$D$2:$D$9,MATCH(E639,Products!$A$2:$A$9,0))</f>
        <v>120</v>
      </c>
      <c r="J639" s="7" t="n">
        <v>0.05</v>
      </c>
      <c r="K639" s="8" t="n">
        <f aca="false">H639*I639*(1-J639)</f>
        <v>114</v>
      </c>
      <c r="L639" s="6" t="n">
        <f aca="false">H639*INDEX(Products!$E$2:$E$9,MATCH(E639,Products!$A$2:$A$9,0))</f>
        <v>18</v>
      </c>
      <c r="M639" s="8" t="n">
        <f aca="false">K639-L639</f>
        <v>96</v>
      </c>
      <c r="N639" s="2" t="s">
        <v>28</v>
      </c>
      <c r="O639" s="2" t="s">
        <v>43</v>
      </c>
    </row>
    <row r="640" customFormat="false" ht="15" hidden="false" customHeight="false" outlineLevel="0" collapsed="false">
      <c r="A640" s="2" t="s">
        <v>694</v>
      </c>
      <c r="B640" s="3" t="n">
        <v>45937</v>
      </c>
      <c r="C640" s="2" t="s">
        <v>41</v>
      </c>
      <c r="D640" s="2" t="s">
        <v>66</v>
      </c>
      <c r="E640" s="2" t="s">
        <v>49</v>
      </c>
      <c r="F640" s="4" t="str">
        <f aca="false">INDEX(Products!$B$2:$B$9,MATCH(E640,Products!$A$2:$A$9,0))</f>
        <v>Mounting Kit</v>
      </c>
      <c r="G640" s="4" t="str">
        <f aca="false">INDEX(Products!$C$2:$C$9,MATCH(E640,Products!$A$2:$A$9,0))</f>
        <v>Accessories</v>
      </c>
      <c r="H640" s="5" t="n">
        <v>3</v>
      </c>
      <c r="I640" s="6" t="n">
        <f aca="false">INDEX(Products!$D$2:$D$9,MATCH(E640,Products!$A$2:$A$9,0))</f>
        <v>39</v>
      </c>
      <c r="J640" s="7" t="n">
        <v>0.1</v>
      </c>
      <c r="K640" s="8" t="n">
        <f aca="false">H640*I640*(1-J640)</f>
        <v>105.3</v>
      </c>
      <c r="L640" s="6" t="n">
        <f aca="false">H640*INDEX(Products!$E$2:$E$9,MATCH(E640,Products!$A$2:$A$9,0))</f>
        <v>94.5</v>
      </c>
      <c r="M640" s="8" t="n">
        <f aca="false">K640-L640</f>
        <v>10.8</v>
      </c>
      <c r="N640" s="2" t="s">
        <v>28</v>
      </c>
      <c r="O640" s="2" t="s">
        <v>52</v>
      </c>
    </row>
    <row r="641" customFormat="false" ht="15" hidden="false" customHeight="false" outlineLevel="0" collapsed="false">
      <c r="A641" s="2" t="s">
        <v>695</v>
      </c>
      <c r="B641" s="3" t="n">
        <v>45938</v>
      </c>
      <c r="C641" s="2" t="s">
        <v>30</v>
      </c>
      <c r="D641" s="2" t="s">
        <v>77</v>
      </c>
      <c r="E641" s="2" t="s">
        <v>23</v>
      </c>
      <c r="F641" s="4" t="str">
        <f aca="false">INDEX(Products!$B$2:$B$9,MATCH(E641,Products!$A$2:$A$9,0))</f>
        <v>Sensor Hub S</v>
      </c>
      <c r="G641" s="4" t="str">
        <f aca="false">INDEX(Products!$C$2:$C$9,MATCH(E641,Products!$A$2:$A$9,0))</f>
        <v>Hardware</v>
      </c>
      <c r="H641" s="5" t="n">
        <v>20</v>
      </c>
      <c r="I641" s="6" t="n">
        <f aca="false">INDEX(Products!$D$2:$D$9,MATCH(E641,Products!$A$2:$A$9,0))</f>
        <v>189</v>
      </c>
      <c r="J641" s="7" t="n">
        <v>0</v>
      </c>
      <c r="K641" s="8" t="n">
        <f aca="false">H641*I641*(1-J641)</f>
        <v>3780</v>
      </c>
      <c r="L641" s="6" t="n">
        <f aca="false">H641*INDEX(Products!$E$2:$E$9,MATCH(E641,Products!$A$2:$A$9,0))</f>
        <v>1960</v>
      </c>
      <c r="M641" s="8" t="n">
        <f aca="false">K641-L641</f>
        <v>1820</v>
      </c>
      <c r="N641" s="2" t="s">
        <v>28</v>
      </c>
      <c r="O641" s="2" t="s">
        <v>33</v>
      </c>
    </row>
    <row r="642" customFormat="false" ht="15" hidden="false" customHeight="false" outlineLevel="0" collapsed="false">
      <c r="A642" s="2" t="s">
        <v>696</v>
      </c>
      <c r="B642" s="3" t="n">
        <v>45938</v>
      </c>
      <c r="C642" s="2" t="s">
        <v>59</v>
      </c>
      <c r="D642" s="2" t="s">
        <v>60</v>
      </c>
      <c r="E642" s="2" t="s">
        <v>26</v>
      </c>
      <c r="F642" s="4" t="str">
        <f aca="false">INDEX(Products!$B$2:$B$9,MATCH(E642,Products!$A$2:$A$9,0))</f>
        <v>Analytics Basic</v>
      </c>
      <c r="G642" s="4" t="str">
        <f aca="false">INDEX(Products!$C$2:$C$9,MATCH(E642,Products!$A$2:$A$9,0))</f>
        <v>Software</v>
      </c>
      <c r="H642" s="5" t="n">
        <v>1</v>
      </c>
      <c r="I642" s="6" t="n">
        <f aca="false">INDEX(Products!$D$2:$D$9,MATCH(E642,Products!$A$2:$A$9,0))</f>
        <v>120</v>
      </c>
      <c r="J642" s="7" t="n">
        <v>0.1</v>
      </c>
      <c r="K642" s="8" t="n">
        <f aca="false">H642*I642*(1-J642)</f>
        <v>108</v>
      </c>
      <c r="L642" s="6" t="n">
        <f aca="false">H642*INDEX(Products!$E$2:$E$9,MATCH(E642,Products!$A$2:$A$9,0))</f>
        <v>18</v>
      </c>
      <c r="M642" s="8" t="n">
        <f aca="false">K642-L642</f>
        <v>90</v>
      </c>
      <c r="N642" s="2" t="s">
        <v>19</v>
      </c>
      <c r="O642" s="2" t="s">
        <v>62</v>
      </c>
    </row>
    <row r="643" customFormat="false" ht="15" hidden="false" customHeight="false" outlineLevel="0" collapsed="false">
      <c r="A643" s="2" t="s">
        <v>697</v>
      </c>
      <c r="B643" s="3" t="n">
        <v>45938</v>
      </c>
      <c r="C643" s="2" t="s">
        <v>41</v>
      </c>
      <c r="D643" s="2" t="s">
        <v>66</v>
      </c>
      <c r="E643" s="2" t="s">
        <v>26</v>
      </c>
      <c r="F643" s="4" t="str">
        <f aca="false">INDEX(Products!$B$2:$B$9,MATCH(E643,Products!$A$2:$A$9,0))</f>
        <v>Analytics Basic</v>
      </c>
      <c r="G643" s="4" t="str">
        <f aca="false">INDEX(Products!$C$2:$C$9,MATCH(E643,Products!$A$2:$A$9,0))</f>
        <v>Software</v>
      </c>
      <c r="H643" s="5" t="n">
        <v>5</v>
      </c>
      <c r="I643" s="6" t="n">
        <f aca="false">INDEX(Products!$D$2:$D$9,MATCH(E643,Products!$A$2:$A$9,0))</f>
        <v>120</v>
      </c>
      <c r="J643" s="7" t="n">
        <v>0.15</v>
      </c>
      <c r="K643" s="8" t="n">
        <f aca="false">H643*I643*(1-J643)</f>
        <v>510</v>
      </c>
      <c r="L643" s="6" t="n">
        <f aca="false">H643*INDEX(Products!$E$2:$E$9,MATCH(E643,Products!$A$2:$A$9,0))</f>
        <v>90</v>
      </c>
      <c r="M643" s="8" t="n">
        <f aca="false">K643-L643</f>
        <v>420</v>
      </c>
      <c r="N643" s="2" t="s">
        <v>19</v>
      </c>
      <c r="O643" s="2" t="s">
        <v>52</v>
      </c>
    </row>
    <row r="644" customFormat="false" ht="15" hidden="false" customHeight="false" outlineLevel="0" collapsed="false">
      <c r="A644" s="2" t="s">
        <v>698</v>
      </c>
      <c r="B644" s="3" t="n">
        <v>45939</v>
      </c>
      <c r="C644" s="2" t="s">
        <v>30</v>
      </c>
      <c r="D644" s="2" t="s">
        <v>77</v>
      </c>
      <c r="E644" s="2" t="s">
        <v>26</v>
      </c>
      <c r="F644" s="4" t="str">
        <f aca="false">INDEX(Products!$B$2:$B$9,MATCH(E644,Products!$A$2:$A$9,0))</f>
        <v>Analytics Basic</v>
      </c>
      <c r="G644" s="4" t="str">
        <f aca="false">INDEX(Products!$C$2:$C$9,MATCH(E644,Products!$A$2:$A$9,0))</f>
        <v>Software</v>
      </c>
      <c r="H644" s="5" t="n">
        <v>1</v>
      </c>
      <c r="I644" s="6" t="n">
        <f aca="false">INDEX(Products!$D$2:$D$9,MATCH(E644,Products!$A$2:$A$9,0))</f>
        <v>120</v>
      </c>
      <c r="J644" s="7" t="n">
        <v>0.15</v>
      </c>
      <c r="K644" s="8" t="n">
        <f aca="false">H644*I644*(1-J644)</f>
        <v>102</v>
      </c>
      <c r="L644" s="6" t="n">
        <f aca="false">H644*INDEX(Products!$E$2:$E$9,MATCH(E644,Products!$A$2:$A$9,0))</f>
        <v>18</v>
      </c>
      <c r="M644" s="8" t="n">
        <f aca="false">K644-L644</f>
        <v>84</v>
      </c>
      <c r="N644" s="2" t="s">
        <v>19</v>
      </c>
      <c r="O644" s="2" t="s">
        <v>33</v>
      </c>
    </row>
    <row r="645" customFormat="false" ht="15" hidden="false" customHeight="false" outlineLevel="0" collapsed="false">
      <c r="A645" s="2" t="s">
        <v>699</v>
      </c>
      <c r="B645" s="3" t="n">
        <v>45939</v>
      </c>
      <c r="C645" s="2" t="s">
        <v>47</v>
      </c>
      <c r="D645" s="2" t="s">
        <v>48</v>
      </c>
      <c r="E645" s="2" t="s">
        <v>23</v>
      </c>
      <c r="F645" s="4" t="str">
        <f aca="false">INDEX(Products!$B$2:$B$9,MATCH(E645,Products!$A$2:$A$9,0))</f>
        <v>Sensor Hub S</v>
      </c>
      <c r="G645" s="4" t="str">
        <f aca="false">INDEX(Products!$C$2:$C$9,MATCH(E645,Products!$A$2:$A$9,0))</f>
        <v>Hardware</v>
      </c>
      <c r="H645" s="5" t="n">
        <v>1</v>
      </c>
      <c r="I645" s="6" t="n">
        <f aca="false">INDEX(Products!$D$2:$D$9,MATCH(E645,Products!$A$2:$A$9,0))</f>
        <v>189</v>
      </c>
      <c r="J645" s="7" t="n">
        <v>0.15</v>
      </c>
      <c r="K645" s="8" t="n">
        <f aca="false">H645*I645*(1-J645)</f>
        <v>160.65</v>
      </c>
      <c r="L645" s="6" t="n">
        <f aca="false">H645*INDEX(Products!$E$2:$E$9,MATCH(E645,Products!$A$2:$A$9,0))</f>
        <v>98</v>
      </c>
      <c r="M645" s="8" t="n">
        <f aca="false">K645-L645</f>
        <v>62.65</v>
      </c>
      <c r="N645" s="2" t="s">
        <v>28</v>
      </c>
      <c r="O645" s="2" t="s">
        <v>50</v>
      </c>
    </row>
    <row r="646" customFormat="false" ht="15" hidden="false" customHeight="false" outlineLevel="0" collapsed="false">
      <c r="A646" s="2" t="s">
        <v>700</v>
      </c>
      <c r="B646" s="3" t="n">
        <v>45939</v>
      </c>
      <c r="C646" s="2" t="s">
        <v>16</v>
      </c>
      <c r="D646" s="2" t="s">
        <v>25</v>
      </c>
      <c r="E646" s="2" t="s">
        <v>26</v>
      </c>
      <c r="F646" s="4" t="str">
        <f aca="false">INDEX(Products!$B$2:$B$9,MATCH(E646,Products!$A$2:$A$9,0))</f>
        <v>Analytics Basic</v>
      </c>
      <c r="G646" s="4" t="str">
        <f aca="false">INDEX(Products!$C$2:$C$9,MATCH(E646,Products!$A$2:$A$9,0))</f>
        <v>Software</v>
      </c>
      <c r="H646" s="5" t="n">
        <v>5</v>
      </c>
      <c r="I646" s="6" t="n">
        <f aca="false">INDEX(Products!$D$2:$D$9,MATCH(E646,Products!$A$2:$A$9,0))</f>
        <v>120</v>
      </c>
      <c r="J646" s="7" t="n">
        <v>0.15</v>
      </c>
      <c r="K646" s="8" t="n">
        <f aca="false">H646*I646*(1-J646)</f>
        <v>510</v>
      </c>
      <c r="L646" s="6" t="n">
        <f aca="false">H646*INDEX(Products!$E$2:$E$9,MATCH(E646,Products!$A$2:$A$9,0))</f>
        <v>90</v>
      </c>
      <c r="M646" s="8" t="n">
        <f aca="false">K646-L646</f>
        <v>420</v>
      </c>
      <c r="N646" s="2" t="s">
        <v>38</v>
      </c>
      <c r="O646" s="2" t="s">
        <v>20</v>
      </c>
    </row>
    <row r="647" customFormat="false" ht="15" hidden="false" customHeight="false" outlineLevel="0" collapsed="false">
      <c r="A647" s="2" t="s">
        <v>701</v>
      </c>
      <c r="B647" s="3" t="n">
        <v>45940</v>
      </c>
      <c r="C647" s="2" t="s">
        <v>16</v>
      </c>
      <c r="D647" s="2" t="s">
        <v>25</v>
      </c>
      <c r="E647" s="2" t="s">
        <v>18</v>
      </c>
      <c r="F647" s="4" t="str">
        <f aca="false">INDEX(Products!$B$2:$B$9,MATCH(E647,Products!$A$2:$A$9,0))</f>
        <v>Sensor Hub Pro</v>
      </c>
      <c r="G647" s="4" t="str">
        <f aca="false">INDEX(Products!$C$2:$C$9,MATCH(E647,Products!$A$2:$A$9,0))</f>
        <v>Hardware</v>
      </c>
      <c r="H647" s="5" t="n">
        <v>1</v>
      </c>
      <c r="I647" s="6" t="n">
        <f aca="false">INDEX(Products!$D$2:$D$9,MATCH(E647,Products!$A$2:$A$9,0))</f>
        <v>349</v>
      </c>
      <c r="J647" s="7" t="n">
        <v>0.1</v>
      </c>
      <c r="K647" s="8" t="n">
        <f aca="false">H647*I647*(1-J647)</f>
        <v>314.1</v>
      </c>
      <c r="L647" s="6" t="n">
        <f aca="false">H647*INDEX(Products!$E$2:$E$9,MATCH(E647,Products!$A$2:$A$9,0))</f>
        <v>201</v>
      </c>
      <c r="M647" s="8" t="n">
        <f aca="false">K647-L647</f>
        <v>113.1</v>
      </c>
      <c r="N647" s="2" t="s">
        <v>19</v>
      </c>
      <c r="O647" s="2" t="s">
        <v>20</v>
      </c>
    </row>
    <row r="648" customFormat="false" ht="15" hidden="false" customHeight="false" outlineLevel="0" collapsed="false">
      <c r="A648" s="2" t="s">
        <v>702</v>
      </c>
      <c r="B648" s="3" t="n">
        <v>45940</v>
      </c>
      <c r="C648" s="2" t="s">
        <v>47</v>
      </c>
      <c r="D648" s="2" t="s">
        <v>48</v>
      </c>
      <c r="E648" s="2" t="s">
        <v>23</v>
      </c>
      <c r="F648" s="4" t="str">
        <f aca="false">INDEX(Products!$B$2:$B$9,MATCH(E648,Products!$A$2:$A$9,0))</f>
        <v>Sensor Hub S</v>
      </c>
      <c r="G648" s="4" t="str">
        <f aca="false">INDEX(Products!$C$2:$C$9,MATCH(E648,Products!$A$2:$A$9,0))</f>
        <v>Hardware</v>
      </c>
      <c r="H648" s="5" t="n">
        <v>20</v>
      </c>
      <c r="I648" s="6" t="n">
        <f aca="false">INDEX(Products!$D$2:$D$9,MATCH(E648,Products!$A$2:$A$9,0))</f>
        <v>189</v>
      </c>
      <c r="J648" s="7" t="n">
        <v>0.05</v>
      </c>
      <c r="K648" s="8" t="n">
        <f aca="false">H648*I648*(1-J648)</f>
        <v>3591</v>
      </c>
      <c r="L648" s="6" t="n">
        <f aca="false">H648*INDEX(Products!$E$2:$E$9,MATCH(E648,Products!$A$2:$A$9,0))</f>
        <v>1960</v>
      </c>
      <c r="M648" s="8" t="n">
        <f aca="false">K648-L648</f>
        <v>1631</v>
      </c>
      <c r="N648" s="2" t="s">
        <v>28</v>
      </c>
      <c r="O648" s="2" t="s">
        <v>50</v>
      </c>
    </row>
    <row r="649" customFormat="false" ht="15" hidden="false" customHeight="false" outlineLevel="0" collapsed="false">
      <c r="A649" s="2" t="s">
        <v>703</v>
      </c>
      <c r="B649" s="3" t="n">
        <v>45940</v>
      </c>
      <c r="C649" s="2" t="s">
        <v>16</v>
      </c>
      <c r="D649" s="2" t="s">
        <v>35</v>
      </c>
      <c r="E649" s="2" t="s">
        <v>32</v>
      </c>
      <c r="F649" s="4" t="str">
        <f aca="false">INDEX(Products!$B$2:$B$9,MATCH(E649,Products!$A$2:$A$9,0))</f>
        <v>Analytics Plus</v>
      </c>
      <c r="G649" s="4" t="str">
        <f aca="false">INDEX(Products!$C$2:$C$9,MATCH(E649,Products!$A$2:$A$9,0))</f>
        <v>Software</v>
      </c>
      <c r="H649" s="5" t="n">
        <v>3</v>
      </c>
      <c r="I649" s="6" t="n">
        <f aca="false">INDEX(Products!$D$2:$D$9,MATCH(E649,Products!$A$2:$A$9,0))</f>
        <v>290</v>
      </c>
      <c r="J649" s="7" t="n">
        <v>0.15</v>
      </c>
      <c r="K649" s="8" t="n">
        <f aca="false">H649*I649*(1-J649)</f>
        <v>739.5</v>
      </c>
      <c r="L649" s="6" t="n">
        <f aca="false">H649*INDEX(Products!$E$2:$E$9,MATCH(E649,Products!$A$2:$A$9,0))</f>
        <v>123</v>
      </c>
      <c r="M649" s="8" t="n">
        <f aca="false">K649-L649</f>
        <v>616.5</v>
      </c>
      <c r="N649" s="2" t="s">
        <v>19</v>
      </c>
      <c r="O649" s="2" t="s">
        <v>20</v>
      </c>
    </row>
    <row r="650" customFormat="false" ht="15" hidden="false" customHeight="false" outlineLevel="0" collapsed="false">
      <c r="A650" s="2" t="s">
        <v>704</v>
      </c>
      <c r="B650" s="3" t="n">
        <v>45940</v>
      </c>
      <c r="C650" s="2" t="s">
        <v>41</v>
      </c>
      <c r="D650" s="2" t="s">
        <v>42</v>
      </c>
      <c r="E650" s="2" t="s">
        <v>26</v>
      </c>
      <c r="F650" s="4" t="str">
        <f aca="false">INDEX(Products!$B$2:$B$9,MATCH(E650,Products!$A$2:$A$9,0))</f>
        <v>Analytics Basic</v>
      </c>
      <c r="G650" s="4" t="str">
        <f aca="false">INDEX(Products!$C$2:$C$9,MATCH(E650,Products!$A$2:$A$9,0))</f>
        <v>Software</v>
      </c>
      <c r="H650" s="5" t="n">
        <v>1</v>
      </c>
      <c r="I650" s="6" t="n">
        <f aca="false">INDEX(Products!$D$2:$D$9,MATCH(E650,Products!$A$2:$A$9,0))</f>
        <v>120</v>
      </c>
      <c r="J650" s="7" t="n">
        <v>0.15</v>
      </c>
      <c r="K650" s="8" t="n">
        <f aca="false">H650*I650*(1-J650)</f>
        <v>102</v>
      </c>
      <c r="L650" s="6" t="n">
        <f aca="false">H650*INDEX(Products!$E$2:$E$9,MATCH(E650,Products!$A$2:$A$9,0))</f>
        <v>18</v>
      </c>
      <c r="M650" s="8" t="n">
        <f aca="false">K650-L650</f>
        <v>84</v>
      </c>
      <c r="N650" s="2" t="s">
        <v>28</v>
      </c>
      <c r="O650" s="2" t="s">
        <v>43</v>
      </c>
    </row>
    <row r="651" customFormat="false" ht="15" hidden="false" customHeight="false" outlineLevel="0" collapsed="false">
      <c r="A651" s="2" t="s">
        <v>705</v>
      </c>
      <c r="B651" s="3" t="n">
        <v>45940</v>
      </c>
      <c r="C651" s="2" t="s">
        <v>16</v>
      </c>
      <c r="D651" s="2" t="s">
        <v>25</v>
      </c>
      <c r="E651" s="2" t="s">
        <v>23</v>
      </c>
      <c r="F651" s="4" t="str">
        <f aca="false">INDEX(Products!$B$2:$B$9,MATCH(E651,Products!$A$2:$A$9,0))</f>
        <v>Sensor Hub S</v>
      </c>
      <c r="G651" s="4" t="str">
        <f aca="false">INDEX(Products!$C$2:$C$9,MATCH(E651,Products!$A$2:$A$9,0))</f>
        <v>Hardware</v>
      </c>
      <c r="H651" s="5" t="n">
        <v>8</v>
      </c>
      <c r="I651" s="6" t="n">
        <f aca="false">INDEX(Products!$D$2:$D$9,MATCH(E651,Products!$A$2:$A$9,0))</f>
        <v>189</v>
      </c>
      <c r="J651" s="7" t="n">
        <v>0.1</v>
      </c>
      <c r="K651" s="8" t="n">
        <f aca="false">H651*I651*(1-J651)</f>
        <v>1360.8</v>
      </c>
      <c r="L651" s="6" t="n">
        <f aca="false">H651*INDEX(Products!$E$2:$E$9,MATCH(E651,Products!$A$2:$A$9,0))</f>
        <v>784</v>
      </c>
      <c r="M651" s="8" t="n">
        <f aca="false">K651-L651</f>
        <v>576.8</v>
      </c>
      <c r="N651" s="2" t="s">
        <v>19</v>
      </c>
      <c r="O651" s="2" t="s">
        <v>36</v>
      </c>
    </row>
    <row r="652" customFormat="false" ht="15" hidden="false" customHeight="false" outlineLevel="0" collapsed="false">
      <c r="A652" s="2" t="s">
        <v>706</v>
      </c>
      <c r="B652" s="3" t="n">
        <v>45942</v>
      </c>
      <c r="C652" s="2" t="s">
        <v>59</v>
      </c>
      <c r="D652" s="2" t="s">
        <v>101</v>
      </c>
      <c r="E652" s="2" t="s">
        <v>18</v>
      </c>
      <c r="F652" s="4" t="str">
        <f aca="false">INDEX(Products!$B$2:$B$9,MATCH(E652,Products!$A$2:$A$9,0))</f>
        <v>Sensor Hub Pro</v>
      </c>
      <c r="G652" s="4" t="str">
        <f aca="false">INDEX(Products!$C$2:$C$9,MATCH(E652,Products!$A$2:$A$9,0))</f>
        <v>Hardware</v>
      </c>
      <c r="H652" s="5" t="n">
        <v>2</v>
      </c>
      <c r="I652" s="6" t="n">
        <f aca="false">INDEX(Products!$D$2:$D$9,MATCH(E652,Products!$A$2:$A$9,0))</f>
        <v>349</v>
      </c>
      <c r="J652" s="7" t="n">
        <v>0.2</v>
      </c>
      <c r="K652" s="8" t="n">
        <f aca="false">H652*I652*(1-J652)</f>
        <v>558.4</v>
      </c>
      <c r="L652" s="6" t="n">
        <f aca="false">H652*INDEX(Products!$E$2:$E$9,MATCH(E652,Products!$A$2:$A$9,0))</f>
        <v>402</v>
      </c>
      <c r="M652" s="8" t="n">
        <f aca="false">K652-L652</f>
        <v>156.4</v>
      </c>
      <c r="N652" s="2" t="s">
        <v>19</v>
      </c>
      <c r="O652" s="2" t="s">
        <v>62</v>
      </c>
    </row>
    <row r="653" customFormat="false" ht="15" hidden="false" customHeight="false" outlineLevel="0" collapsed="false">
      <c r="A653" s="2" t="s">
        <v>707</v>
      </c>
      <c r="B653" s="3" t="n">
        <v>45943</v>
      </c>
      <c r="C653" s="2" t="s">
        <v>16</v>
      </c>
      <c r="D653" s="2" t="s">
        <v>25</v>
      </c>
      <c r="E653" s="2" t="s">
        <v>23</v>
      </c>
      <c r="F653" s="4" t="str">
        <f aca="false">INDEX(Products!$B$2:$B$9,MATCH(E653,Products!$A$2:$A$9,0))</f>
        <v>Sensor Hub S</v>
      </c>
      <c r="G653" s="4" t="str">
        <f aca="false">INDEX(Products!$C$2:$C$9,MATCH(E653,Products!$A$2:$A$9,0))</f>
        <v>Hardware</v>
      </c>
      <c r="H653" s="5" t="n">
        <v>2</v>
      </c>
      <c r="I653" s="6" t="n">
        <f aca="false">INDEX(Products!$D$2:$D$9,MATCH(E653,Products!$A$2:$A$9,0))</f>
        <v>189</v>
      </c>
      <c r="J653" s="7" t="n">
        <v>0</v>
      </c>
      <c r="K653" s="8" t="n">
        <f aca="false">H653*I653*(1-J653)</f>
        <v>378</v>
      </c>
      <c r="L653" s="6" t="n">
        <f aca="false">H653*INDEX(Products!$E$2:$E$9,MATCH(E653,Products!$A$2:$A$9,0))</f>
        <v>196</v>
      </c>
      <c r="M653" s="8" t="n">
        <f aca="false">K653-L653</f>
        <v>182</v>
      </c>
      <c r="N653" s="2" t="s">
        <v>28</v>
      </c>
      <c r="O653" s="2" t="s">
        <v>20</v>
      </c>
    </row>
    <row r="654" customFormat="false" ht="15" hidden="false" customHeight="false" outlineLevel="0" collapsed="false">
      <c r="A654" s="2" t="s">
        <v>708</v>
      </c>
      <c r="B654" s="3" t="n">
        <v>45943</v>
      </c>
      <c r="C654" s="2" t="s">
        <v>47</v>
      </c>
      <c r="D654" s="2" t="s">
        <v>48</v>
      </c>
      <c r="E654" s="2" t="s">
        <v>61</v>
      </c>
      <c r="F654" s="4" t="str">
        <f aca="false">INDEX(Products!$B$2:$B$9,MATCH(E654,Products!$A$2:$A$9,0))</f>
        <v>Install Service</v>
      </c>
      <c r="G654" s="4" t="str">
        <f aca="false">INDEX(Products!$C$2:$C$9,MATCH(E654,Products!$A$2:$A$9,0))</f>
        <v>Services</v>
      </c>
      <c r="H654" s="5" t="n">
        <v>1</v>
      </c>
      <c r="I654" s="6" t="n">
        <f aca="false">INDEX(Products!$D$2:$D$9,MATCH(E654,Products!$A$2:$A$9,0))</f>
        <v>450</v>
      </c>
      <c r="J654" s="7" t="n">
        <v>0.15</v>
      </c>
      <c r="K654" s="8" t="n">
        <f aca="false">H654*I654*(1-J654)</f>
        <v>382.5</v>
      </c>
      <c r="L654" s="6" t="n">
        <f aca="false">H654*INDEX(Products!$E$2:$E$9,MATCH(E654,Products!$A$2:$A$9,0))</f>
        <v>310</v>
      </c>
      <c r="M654" s="8" t="n">
        <f aca="false">K654-L654</f>
        <v>72.5</v>
      </c>
      <c r="N654" s="2" t="s">
        <v>28</v>
      </c>
      <c r="O654" s="2" t="s">
        <v>72</v>
      </c>
    </row>
    <row r="655" customFormat="false" ht="15" hidden="false" customHeight="false" outlineLevel="0" collapsed="false">
      <c r="A655" s="2" t="s">
        <v>709</v>
      </c>
      <c r="B655" s="3" t="n">
        <v>45943</v>
      </c>
      <c r="C655" s="2" t="s">
        <v>16</v>
      </c>
      <c r="D655" s="2" t="s">
        <v>35</v>
      </c>
      <c r="E655" s="2" t="s">
        <v>57</v>
      </c>
      <c r="F655" s="4" t="str">
        <f aca="false">INDEX(Products!$B$2:$B$9,MATCH(E655,Products!$A$2:$A$9,0))</f>
        <v>Edge Gateway</v>
      </c>
      <c r="G655" s="4" t="str">
        <f aca="false">INDEX(Products!$C$2:$C$9,MATCH(E655,Products!$A$2:$A$9,0))</f>
        <v>Hardware</v>
      </c>
      <c r="H655" s="5" t="n">
        <v>10</v>
      </c>
      <c r="I655" s="6" t="n">
        <f aca="false">INDEX(Products!$D$2:$D$9,MATCH(E655,Products!$A$2:$A$9,0))</f>
        <v>899</v>
      </c>
      <c r="J655" s="7" t="n">
        <v>0</v>
      </c>
      <c r="K655" s="8" t="n">
        <f aca="false">H655*I655*(1-J655)</f>
        <v>8990</v>
      </c>
      <c r="L655" s="6" t="n">
        <f aca="false">H655*INDEX(Products!$E$2:$E$9,MATCH(E655,Products!$A$2:$A$9,0))</f>
        <v>6120</v>
      </c>
      <c r="M655" s="8" t="n">
        <f aca="false">K655-L655</f>
        <v>2870</v>
      </c>
      <c r="N655" s="2" t="s">
        <v>28</v>
      </c>
      <c r="O655" s="2" t="s">
        <v>20</v>
      </c>
    </row>
    <row r="656" customFormat="false" ht="15" hidden="false" customHeight="false" outlineLevel="0" collapsed="false">
      <c r="A656" s="2" t="s">
        <v>710</v>
      </c>
      <c r="B656" s="3" t="n">
        <v>45943</v>
      </c>
      <c r="C656" s="2" t="s">
        <v>30</v>
      </c>
      <c r="D656" s="2" t="s">
        <v>31</v>
      </c>
      <c r="E656" s="2" t="s">
        <v>23</v>
      </c>
      <c r="F656" s="4" t="str">
        <f aca="false">INDEX(Products!$B$2:$B$9,MATCH(E656,Products!$A$2:$A$9,0))</f>
        <v>Sensor Hub S</v>
      </c>
      <c r="G656" s="4" t="str">
        <f aca="false">INDEX(Products!$C$2:$C$9,MATCH(E656,Products!$A$2:$A$9,0))</f>
        <v>Hardware</v>
      </c>
      <c r="H656" s="5" t="n">
        <v>2</v>
      </c>
      <c r="I656" s="6" t="n">
        <f aca="false">INDEX(Products!$D$2:$D$9,MATCH(E656,Products!$A$2:$A$9,0))</f>
        <v>189</v>
      </c>
      <c r="J656" s="7" t="n">
        <v>0.05</v>
      </c>
      <c r="K656" s="8" t="n">
        <f aca="false">H656*I656*(1-J656)</f>
        <v>359.1</v>
      </c>
      <c r="L656" s="6" t="n">
        <f aca="false">H656*INDEX(Products!$E$2:$E$9,MATCH(E656,Products!$A$2:$A$9,0))</f>
        <v>196</v>
      </c>
      <c r="M656" s="8" t="n">
        <f aca="false">K656-L656</f>
        <v>163.1</v>
      </c>
      <c r="N656" s="2" t="s">
        <v>28</v>
      </c>
      <c r="O656" s="2" t="s">
        <v>64</v>
      </c>
    </row>
    <row r="657" customFormat="false" ht="15" hidden="false" customHeight="false" outlineLevel="0" collapsed="false">
      <c r="A657" s="2" t="s">
        <v>711</v>
      </c>
      <c r="B657" s="3" t="n">
        <v>45943</v>
      </c>
      <c r="C657" s="2" t="s">
        <v>16</v>
      </c>
      <c r="D657" s="2" t="s">
        <v>25</v>
      </c>
      <c r="E657" s="2" t="s">
        <v>61</v>
      </c>
      <c r="F657" s="4" t="str">
        <f aca="false">INDEX(Products!$B$2:$B$9,MATCH(E657,Products!$A$2:$A$9,0))</f>
        <v>Install Service</v>
      </c>
      <c r="G657" s="4" t="str">
        <f aca="false">INDEX(Products!$C$2:$C$9,MATCH(E657,Products!$A$2:$A$9,0))</f>
        <v>Services</v>
      </c>
      <c r="H657" s="5" t="n">
        <v>1</v>
      </c>
      <c r="I657" s="6" t="n">
        <f aca="false">INDEX(Products!$D$2:$D$9,MATCH(E657,Products!$A$2:$A$9,0))</f>
        <v>450</v>
      </c>
      <c r="J657" s="7" t="n">
        <v>0.1</v>
      </c>
      <c r="K657" s="8" t="n">
        <f aca="false">H657*I657*(1-J657)</f>
        <v>405</v>
      </c>
      <c r="L657" s="6" t="n">
        <f aca="false">H657*INDEX(Products!$E$2:$E$9,MATCH(E657,Products!$A$2:$A$9,0))</f>
        <v>310</v>
      </c>
      <c r="M657" s="8" t="n">
        <f aca="false">K657-L657</f>
        <v>95</v>
      </c>
      <c r="N657" s="2" t="s">
        <v>19</v>
      </c>
      <c r="O657" s="2" t="s">
        <v>20</v>
      </c>
    </row>
    <row r="658" customFormat="false" ht="15" hidden="false" customHeight="false" outlineLevel="0" collapsed="false">
      <c r="A658" s="2" t="s">
        <v>712</v>
      </c>
      <c r="B658" s="3" t="n">
        <v>45943</v>
      </c>
      <c r="C658" s="2" t="s">
        <v>41</v>
      </c>
      <c r="D658" s="2" t="s">
        <v>42</v>
      </c>
      <c r="E658" s="2" t="s">
        <v>18</v>
      </c>
      <c r="F658" s="4" t="str">
        <f aca="false">INDEX(Products!$B$2:$B$9,MATCH(E658,Products!$A$2:$A$9,0))</f>
        <v>Sensor Hub Pro</v>
      </c>
      <c r="G658" s="4" t="str">
        <f aca="false">INDEX(Products!$C$2:$C$9,MATCH(E658,Products!$A$2:$A$9,0))</f>
        <v>Hardware</v>
      </c>
      <c r="H658" s="5" t="n">
        <v>4</v>
      </c>
      <c r="I658" s="6" t="n">
        <f aca="false">INDEX(Products!$D$2:$D$9,MATCH(E658,Products!$A$2:$A$9,0))</f>
        <v>349</v>
      </c>
      <c r="J658" s="7" t="n">
        <v>0.1</v>
      </c>
      <c r="K658" s="8" t="n">
        <f aca="false">H658*I658*(1-J658)</f>
        <v>1256.4</v>
      </c>
      <c r="L658" s="6" t="n">
        <f aca="false">H658*INDEX(Products!$E$2:$E$9,MATCH(E658,Products!$A$2:$A$9,0))</f>
        <v>804</v>
      </c>
      <c r="M658" s="8" t="n">
        <f aca="false">K658-L658</f>
        <v>452.4</v>
      </c>
      <c r="N658" s="2" t="s">
        <v>28</v>
      </c>
      <c r="O658" s="2" t="s">
        <v>43</v>
      </c>
    </row>
    <row r="659" customFormat="false" ht="15" hidden="false" customHeight="false" outlineLevel="0" collapsed="false">
      <c r="A659" s="2" t="s">
        <v>713</v>
      </c>
      <c r="B659" s="3" t="n">
        <v>45944</v>
      </c>
      <c r="C659" s="2" t="s">
        <v>16</v>
      </c>
      <c r="D659" s="2" t="s">
        <v>22</v>
      </c>
      <c r="E659" s="2" t="s">
        <v>49</v>
      </c>
      <c r="F659" s="4" t="str">
        <f aca="false">INDEX(Products!$B$2:$B$9,MATCH(E659,Products!$A$2:$A$9,0))</f>
        <v>Mounting Kit</v>
      </c>
      <c r="G659" s="4" t="str">
        <f aca="false">INDEX(Products!$C$2:$C$9,MATCH(E659,Products!$A$2:$A$9,0))</f>
        <v>Accessories</v>
      </c>
      <c r="H659" s="5" t="n">
        <v>20</v>
      </c>
      <c r="I659" s="6" t="n">
        <f aca="false">INDEX(Products!$D$2:$D$9,MATCH(E659,Products!$A$2:$A$9,0))</f>
        <v>39</v>
      </c>
      <c r="J659" s="7" t="n">
        <v>0</v>
      </c>
      <c r="K659" s="8" t="n">
        <f aca="false">H659*I659*(1-J659)</f>
        <v>780</v>
      </c>
      <c r="L659" s="6" t="n">
        <f aca="false">H659*INDEX(Products!$E$2:$E$9,MATCH(E659,Products!$A$2:$A$9,0))</f>
        <v>630</v>
      </c>
      <c r="M659" s="8" t="n">
        <f aca="false">K659-L659</f>
        <v>150</v>
      </c>
      <c r="N659" s="2" t="s">
        <v>28</v>
      </c>
      <c r="O659" s="2" t="s">
        <v>20</v>
      </c>
    </row>
    <row r="660" customFormat="false" ht="15" hidden="false" customHeight="false" outlineLevel="0" collapsed="false">
      <c r="A660" s="2" t="s">
        <v>714</v>
      </c>
      <c r="B660" s="3" t="n">
        <v>45944</v>
      </c>
      <c r="C660" s="2" t="s">
        <v>47</v>
      </c>
      <c r="D660" s="2" t="s">
        <v>48</v>
      </c>
      <c r="E660" s="2" t="s">
        <v>23</v>
      </c>
      <c r="F660" s="4" t="str">
        <f aca="false">INDEX(Products!$B$2:$B$9,MATCH(E660,Products!$A$2:$A$9,0))</f>
        <v>Sensor Hub S</v>
      </c>
      <c r="G660" s="4" t="str">
        <f aca="false">INDEX(Products!$C$2:$C$9,MATCH(E660,Products!$A$2:$A$9,0))</f>
        <v>Hardware</v>
      </c>
      <c r="H660" s="5" t="n">
        <v>3</v>
      </c>
      <c r="I660" s="6" t="n">
        <f aca="false">INDEX(Products!$D$2:$D$9,MATCH(E660,Products!$A$2:$A$9,0))</f>
        <v>189</v>
      </c>
      <c r="J660" s="7" t="n">
        <v>0.15</v>
      </c>
      <c r="K660" s="8" t="n">
        <f aca="false">H660*I660*(1-J660)</f>
        <v>481.95</v>
      </c>
      <c r="L660" s="6" t="n">
        <f aca="false">H660*INDEX(Products!$E$2:$E$9,MATCH(E660,Products!$A$2:$A$9,0))</f>
        <v>294</v>
      </c>
      <c r="M660" s="8" t="n">
        <f aca="false">K660-L660</f>
        <v>187.95</v>
      </c>
      <c r="N660" s="2" t="s">
        <v>19</v>
      </c>
      <c r="O660" s="2" t="s">
        <v>72</v>
      </c>
    </row>
    <row r="661" customFormat="false" ht="15" hidden="false" customHeight="false" outlineLevel="0" collapsed="false">
      <c r="A661" s="2" t="s">
        <v>715</v>
      </c>
      <c r="B661" s="3" t="n">
        <v>45944</v>
      </c>
      <c r="C661" s="2" t="s">
        <v>59</v>
      </c>
      <c r="D661" s="2" t="s">
        <v>101</v>
      </c>
      <c r="E661" s="2" t="s">
        <v>26</v>
      </c>
      <c r="F661" s="4" t="str">
        <f aca="false">INDEX(Products!$B$2:$B$9,MATCH(E661,Products!$A$2:$A$9,0))</f>
        <v>Analytics Basic</v>
      </c>
      <c r="G661" s="4" t="str">
        <f aca="false">INDEX(Products!$C$2:$C$9,MATCH(E661,Products!$A$2:$A$9,0))</f>
        <v>Software</v>
      </c>
      <c r="H661" s="5" t="n">
        <v>5</v>
      </c>
      <c r="I661" s="6" t="n">
        <f aca="false">INDEX(Products!$D$2:$D$9,MATCH(E661,Products!$A$2:$A$9,0))</f>
        <v>120</v>
      </c>
      <c r="J661" s="7" t="n">
        <v>0.05</v>
      </c>
      <c r="K661" s="8" t="n">
        <f aca="false">H661*I661*(1-J661)</f>
        <v>570</v>
      </c>
      <c r="L661" s="6" t="n">
        <f aca="false">H661*INDEX(Products!$E$2:$E$9,MATCH(E661,Products!$A$2:$A$9,0))</f>
        <v>90</v>
      </c>
      <c r="M661" s="8" t="n">
        <f aca="false">K661-L661</f>
        <v>480</v>
      </c>
      <c r="N661" s="2" t="s">
        <v>28</v>
      </c>
      <c r="O661" s="2" t="s">
        <v>62</v>
      </c>
    </row>
    <row r="662" customFormat="false" ht="15" hidden="false" customHeight="false" outlineLevel="0" collapsed="false">
      <c r="A662" s="2" t="s">
        <v>716</v>
      </c>
      <c r="B662" s="3" t="n">
        <v>45944</v>
      </c>
      <c r="C662" s="2" t="s">
        <v>41</v>
      </c>
      <c r="D662" s="2" t="s">
        <v>66</v>
      </c>
      <c r="E662" s="2" t="s">
        <v>18</v>
      </c>
      <c r="F662" s="4" t="str">
        <f aca="false">INDEX(Products!$B$2:$B$9,MATCH(E662,Products!$A$2:$A$9,0))</f>
        <v>Sensor Hub Pro</v>
      </c>
      <c r="G662" s="4" t="str">
        <f aca="false">INDEX(Products!$C$2:$C$9,MATCH(E662,Products!$A$2:$A$9,0))</f>
        <v>Hardware</v>
      </c>
      <c r="H662" s="5" t="n">
        <v>8</v>
      </c>
      <c r="I662" s="6" t="n">
        <f aca="false">INDEX(Products!$D$2:$D$9,MATCH(E662,Products!$A$2:$A$9,0))</f>
        <v>349</v>
      </c>
      <c r="J662" s="7" t="n">
        <v>0.05</v>
      </c>
      <c r="K662" s="8" t="n">
        <f aca="false">H662*I662*(1-J662)</f>
        <v>2652.4</v>
      </c>
      <c r="L662" s="6" t="n">
        <f aca="false">H662*INDEX(Products!$E$2:$E$9,MATCH(E662,Products!$A$2:$A$9,0))</f>
        <v>1608</v>
      </c>
      <c r="M662" s="8" t="n">
        <f aca="false">K662-L662</f>
        <v>1044.4</v>
      </c>
      <c r="N662" s="2" t="s">
        <v>28</v>
      </c>
      <c r="O662" s="2" t="s">
        <v>43</v>
      </c>
    </row>
    <row r="663" customFormat="false" ht="15" hidden="false" customHeight="false" outlineLevel="0" collapsed="false">
      <c r="A663" s="2" t="s">
        <v>717</v>
      </c>
      <c r="B663" s="3" t="n">
        <v>45945</v>
      </c>
      <c r="C663" s="2" t="s">
        <v>16</v>
      </c>
      <c r="D663" s="2" t="s">
        <v>22</v>
      </c>
      <c r="E663" s="2" t="s">
        <v>32</v>
      </c>
      <c r="F663" s="4" t="str">
        <f aca="false">INDEX(Products!$B$2:$B$9,MATCH(E663,Products!$A$2:$A$9,0))</f>
        <v>Analytics Plus</v>
      </c>
      <c r="G663" s="4" t="str">
        <f aca="false">INDEX(Products!$C$2:$C$9,MATCH(E663,Products!$A$2:$A$9,0))</f>
        <v>Software</v>
      </c>
      <c r="H663" s="5" t="n">
        <v>5</v>
      </c>
      <c r="I663" s="6" t="n">
        <f aca="false">INDEX(Products!$D$2:$D$9,MATCH(E663,Products!$A$2:$A$9,0))</f>
        <v>290</v>
      </c>
      <c r="J663" s="7" t="n">
        <v>0.1</v>
      </c>
      <c r="K663" s="8" t="n">
        <f aca="false">H663*I663*(1-J663)</f>
        <v>1305</v>
      </c>
      <c r="L663" s="6" t="n">
        <f aca="false">H663*INDEX(Products!$E$2:$E$9,MATCH(E663,Products!$A$2:$A$9,0))</f>
        <v>205</v>
      </c>
      <c r="M663" s="8" t="n">
        <f aca="false">K663-L663</f>
        <v>1100</v>
      </c>
      <c r="N663" s="2" t="s">
        <v>19</v>
      </c>
      <c r="O663" s="2" t="s">
        <v>20</v>
      </c>
    </row>
    <row r="664" customFormat="false" ht="15" hidden="false" customHeight="false" outlineLevel="0" collapsed="false">
      <c r="A664" s="2" t="s">
        <v>718</v>
      </c>
      <c r="B664" s="3" t="n">
        <v>45945</v>
      </c>
      <c r="C664" s="2" t="s">
        <v>16</v>
      </c>
      <c r="D664" s="2" t="s">
        <v>25</v>
      </c>
      <c r="E664" s="2" t="s">
        <v>49</v>
      </c>
      <c r="F664" s="4" t="str">
        <f aca="false">INDEX(Products!$B$2:$B$9,MATCH(E664,Products!$A$2:$A$9,0))</f>
        <v>Mounting Kit</v>
      </c>
      <c r="G664" s="4" t="str">
        <f aca="false">INDEX(Products!$C$2:$C$9,MATCH(E664,Products!$A$2:$A$9,0))</f>
        <v>Accessories</v>
      </c>
      <c r="H664" s="5" t="n">
        <v>20</v>
      </c>
      <c r="I664" s="6" t="n">
        <f aca="false">INDEX(Products!$D$2:$D$9,MATCH(E664,Products!$A$2:$A$9,0))</f>
        <v>39</v>
      </c>
      <c r="J664" s="7" t="n">
        <v>0.25</v>
      </c>
      <c r="K664" s="8" t="n">
        <f aca="false">H664*I664*(1-J664)</f>
        <v>585</v>
      </c>
      <c r="L664" s="6" t="n">
        <f aca="false">H664*INDEX(Products!$E$2:$E$9,MATCH(E664,Products!$A$2:$A$9,0))</f>
        <v>630</v>
      </c>
      <c r="M664" s="8" t="n">
        <f aca="false">K664-L664</f>
        <v>-45</v>
      </c>
      <c r="N664" s="2" t="s">
        <v>19</v>
      </c>
      <c r="O664" s="2" t="s">
        <v>36</v>
      </c>
    </row>
    <row r="665" customFormat="false" ht="15" hidden="false" customHeight="false" outlineLevel="0" collapsed="false">
      <c r="A665" s="2" t="s">
        <v>719</v>
      </c>
      <c r="B665" s="3" t="n">
        <v>45945</v>
      </c>
      <c r="C665" s="2" t="s">
        <v>16</v>
      </c>
      <c r="D665" s="2" t="s">
        <v>25</v>
      </c>
      <c r="E665" s="2" t="s">
        <v>57</v>
      </c>
      <c r="F665" s="4" t="str">
        <f aca="false">INDEX(Products!$B$2:$B$9,MATCH(E665,Products!$A$2:$A$9,0))</f>
        <v>Edge Gateway</v>
      </c>
      <c r="G665" s="4" t="str">
        <f aca="false">INDEX(Products!$C$2:$C$9,MATCH(E665,Products!$A$2:$A$9,0))</f>
        <v>Hardware</v>
      </c>
      <c r="H665" s="5" t="n">
        <v>2</v>
      </c>
      <c r="I665" s="6" t="n">
        <f aca="false">INDEX(Products!$D$2:$D$9,MATCH(E665,Products!$A$2:$A$9,0))</f>
        <v>899</v>
      </c>
      <c r="J665" s="7" t="n">
        <v>0</v>
      </c>
      <c r="K665" s="8" t="n">
        <f aca="false">H665*I665*(1-J665)</f>
        <v>1798</v>
      </c>
      <c r="L665" s="6" t="n">
        <f aca="false">H665*INDEX(Products!$E$2:$E$9,MATCH(E665,Products!$A$2:$A$9,0))</f>
        <v>1224</v>
      </c>
      <c r="M665" s="8" t="n">
        <f aca="false">K665-L665</f>
        <v>574</v>
      </c>
      <c r="N665" s="2" t="s">
        <v>28</v>
      </c>
      <c r="O665" s="2" t="s">
        <v>20</v>
      </c>
    </row>
    <row r="666" customFormat="false" ht="15" hidden="false" customHeight="false" outlineLevel="0" collapsed="false">
      <c r="A666" s="2" t="s">
        <v>720</v>
      </c>
      <c r="B666" s="3" t="n">
        <v>45945</v>
      </c>
      <c r="C666" s="2" t="s">
        <v>47</v>
      </c>
      <c r="D666" s="2" t="s">
        <v>157</v>
      </c>
      <c r="E666" s="2" t="s">
        <v>26</v>
      </c>
      <c r="F666" s="4" t="str">
        <f aca="false">INDEX(Products!$B$2:$B$9,MATCH(E666,Products!$A$2:$A$9,0))</f>
        <v>Analytics Basic</v>
      </c>
      <c r="G666" s="4" t="str">
        <f aca="false">INDEX(Products!$C$2:$C$9,MATCH(E666,Products!$A$2:$A$9,0))</f>
        <v>Software</v>
      </c>
      <c r="H666" s="5" t="n">
        <v>2</v>
      </c>
      <c r="I666" s="6" t="n">
        <f aca="false">INDEX(Products!$D$2:$D$9,MATCH(E666,Products!$A$2:$A$9,0))</f>
        <v>120</v>
      </c>
      <c r="J666" s="7" t="n">
        <v>0</v>
      </c>
      <c r="K666" s="8" t="n">
        <f aca="false">H666*I666*(1-J666)</f>
        <v>240</v>
      </c>
      <c r="L666" s="6" t="n">
        <f aca="false">H666*INDEX(Products!$E$2:$E$9,MATCH(E666,Products!$A$2:$A$9,0))</f>
        <v>36</v>
      </c>
      <c r="M666" s="8" t="n">
        <f aca="false">K666-L666</f>
        <v>204</v>
      </c>
      <c r="N666" s="2" t="s">
        <v>28</v>
      </c>
      <c r="O666" s="2" t="s">
        <v>50</v>
      </c>
    </row>
    <row r="667" customFormat="false" ht="15" hidden="false" customHeight="false" outlineLevel="0" collapsed="false">
      <c r="A667" s="2" t="s">
        <v>721</v>
      </c>
      <c r="B667" s="3" t="n">
        <v>45945</v>
      </c>
      <c r="C667" s="2" t="s">
        <v>41</v>
      </c>
      <c r="D667" s="2" t="s">
        <v>42</v>
      </c>
      <c r="E667" s="2" t="s">
        <v>18</v>
      </c>
      <c r="F667" s="4" t="str">
        <f aca="false">INDEX(Products!$B$2:$B$9,MATCH(E667,Products!$A$2:$A$9,0))</f>
        <v>Sensor Hub Pro</v>
      </c>
      <c r="G667" s="4" t="str">
        <f aca="false">INDEX(Products!$C$2:$C$9,MATCH(E667,Products!$A$2:$A$9,0))</f>
        <v>Hardware</v>
      </c>
      <c r="H667" s="5" t="n">
        <v>12</v>
      </c>
      <c r="I667" s="6" t="n">
        <f aca="false">INDEX(Products!$D$2:$D$9,MATCH(E667,Products!$A$2:$A$9,0))</f>
        <v>349</v>
      </c>
      <c r="J667" s="7" t="n">
        <v>0.05</v>
      </c>
      <c r="K667" s="8" t="n">
        <f aca="false">H667*I667*(1-J667)</f>
        <v>3978.6</v>
      </c>
      <c r="L667" s="6" t="n">
        <f aca="false">H667*INDEX(Products!$E$2:$E$9,MATCH(E667,Products!$A$2:$A$9,0))</f>
        <v>2412</v>
      </c>
      <c r="M667" s="8" t="n">
        <f aca="false">K667-L667</f>
        <v>1566.6</v>
      </c>
      <c r="N667" s="2" t="s">
        <v>38</v>
      </c>
      <c r="O667" s="2" t="s">
        <v>43</v>
      </c>
    </row>
    <row r="668" customFormat="false" ht="15" hidden="false" customHeight="false" outlineLevel="0" collapsed="false">
      <c r="A668" s="2" t="s">
        <v>722</v>
      </c>
      <c r="B668" s="3" t="n">
        <v>45946</v>
      </c>
      <c r="C668" s="2" t="s">
        <v>30</v>
      </c>
      <c r="D668" s="2" t="s">
        <v>128</v>
      </c>
      <c r="E668" s="2" t="s">
        <v>26</v>
      </c>
      <c r="F668" s="4" t="str">
        <f aca="false">INDEX(Products!$B$2:$B$9,MATCH(E668,Products!$A$2:$A$9,0))</f>
        <v>Analytics Basic</v>
      </c>
      <c r="G668" s="4" t="str">
        <f aca="false">INDEX(Products!$C$2:$C$9,MATCH(E668,Products!$A$2:$A$9,0))</f>
        <v>Software</v>
      </c>
      <c r="H668" s="5" t="n">
        <v>2</v>
      </c>
      <c r="I668" s="6" t="n">
        <f aca="false">INDEX(Products!$D$2:$D$9,MATCH(E668,Products!$A$2:$A$9,0))</f>
        <v>120</v>
      </c>
      <c r="J668" s="7" t="n">
        <v>0.1</v>
      </c>
      <c r="K668" s="8" t="n">
        <f aca="false">H668*I668*(1-J668)</f>
        <v>216</v>
      </c>
      <c r="L668" s="6" t="n">
        <f aca="false">H668*INDEX(Products!$E$2:$E$9,MATCH(E668,Products!$A$2:$A$9,0))</f>
        <v>36</v>
      </c>
      <c r="M668" s="8" t="n">
        <f aca="false">K668-L668</f>
        <v>180</v>
      </c>
      <c r="N668" s="2" t="s">
        <v>28</v>
      </c>
      <c r="O668" s="2" t="s">
        <v>33</v>
      </c>
    </row>
    <row r="669" customFormat="false" ht="15" hidden="false" customHeight="false" outlineLevel="0" collapsed="false">
      <c r="A669" s="2" t="s">
        <v>723</v>
      </c>
      <c r="B669" s="3" t="n">
        <v>45946</v>
      </c>
      <c r="C669" s="2" t="s">
        <v>41</v>
      </c>
      <c r="D669" s="2" t="s">
        <v>42</v>
      </c>
      <c r="E669" s="2" t="s">
        <v>49</v>
      </c>
      <c r="F669" s="4" t="str">
        <f aca="false">INDEX(Products!$B$2:$B$9,MATCH(E669,Products!$A$2:$A$9,0))</f>
        <v>Mounting Kit</v>
      </c>
      <c r="G669" s="4" t="str">
        <f aca="false">INDEX(Products!$C$2:$C$9,MATCH(E669,Products!$A$2:$A$9,0))</f>
        <v>Accessories</v>
      </c>
      <c r="H669" s="5" t="n">
        <v>12</v>
      </c>
      <c r="I669" s="6" t="n">
        <f aca="false">INDEX(Products!$D$2:$D$9,MATCH(E669,Products!$A$2:$A$9,0))</f>
        <v>39</v>
      </c>
      <c r="J669" s="7" t="n">
        <v>0.15</v>
      </c>
      <c r="K669" s="8" t="n">
        <f aca="false">H669*I669*(1-J669)</f>
        <v>397.8</v>
      </c>
      <c r="L669" s="6" t="n">
        <f aca="false">H669*INDEX(Products!$E$2:$E$9,MATCH(E669,Products!$A$2:$A$9,0))</f>
        <v>378</v>
      </c>
      <c r="M669" s="8" t="n">
        <f aca="false">K669-L669</f>
        <v>19.8</v>
      </c>
      <c r="N669" s="2" t="s">
        <v>38</v>
      </c>
      <c r="O669" s="2" t="s">
        <v>52</v>
      </c>
    </row>
    <row r="670" customFormat="false" ht="15" hidden="false" customHeight="false" outlineLevel="0" collapsed="false">
      <c r="A670" s="2" t="s">
        <v>724</v>
      </c>
      <c r="B670" s="3" t="n">
        <v>45946</v>
      </c>
      <c r="C670" s="2" t="s">
        <v>41</v>
      </c>
      <c r="D670" s="2" t="s">
        <v>66</v>
      </c>
      <c r="E670" s="2" t="s">
        <v>32</v>
      </c>
      <c r="F670" s="4" t="str">
        <f aca="false">INDEX(Products!$B$2:$B$9,MATCH(E670,Products!$A$2:$A$9,0))</f>
        <v>Analytics Plus</v>
      </c>
      <c r="G670" s="4" t="str">
        <f aca="false">INDEX(Products!$C$2:$C$9,MATCH(E670,Products!$A$2:$A$9,0))</f>
        <v>Software</v>
      </c>
      <c r="H670" s="5" t="n">
        <v>3</v>
      </c>
      <c r="I670" s="6" t="n">
        <f aca="false">INDEX(Products!$D$2:$D$9,MATCH(E670,Products!$A$2:$A$9,0))</f>
        <v>290</v>
      </c>
      <c r="J670" s="7" t="n">
        <v>0.1</v>
      </c>
      <c r="K670" s="8" t="n">
        <f aca="false">H670*I670*(1-J670)</f>
        <v>783</v>
      </c>
      <c r="L670" s="6" t="n">
        <f aca="false">H670*INDEX(Products!$E$2:$E$9,MATCH(E670,Products!$A$2:$A$9,0))</f>
        <v>123</v>
      </c>
      <c r="M670" s="8" t="n">
        <f aca="false">K670-L670</f>
        <v>660</v>
      </c>
      <c r="N670" s="2" t="s">
        <v>19</v>
      </c>
      <c r="O670" s="2" t="s">
        <v>43</v>
      </c>
    </row>
    <row r="671" customFormat="false" ht="15" hidden="false" customHeight="false" outlineLevel="0" collapsed="false">
      <c r="A671" s="2" t="s">
        <v>725</v>
      </c>
      <c r="B671" s="3" t="n">
        <v>45947</v>
      </c>
      <c r="C671" s="2" t="s">
        <v>41</v>
      </c>
      <c r="D671" s="2" t="s">
        <v>42</v>
      </c>
      <c r="E671" s="2" t="s">
        <v>18</v>
      </c>
      <c r="F671" s="4" t="str">
        <f aca="false">INDEX(Products!$B$2:$B$9,MATCH(E671,Products!$A$2:$A$9,0))</f>
        <v>Sensor Hub Pro</v>
      </c>
      <c r="G671" s="4" t="str">
        <f aca="false">INDEX(Products!$C$2:$C$9,MATCH(E671,Products!$A$2:$A$9,0))</f>
        <v>Hardware</v>
      </c>
      <c r="H671" s="5" t="n">
        <v>20</v>
      </c>
      <c r="I671" s="6" t="n">
        <f aca="false">INDEX(Products!$D$2:$D$9,MATCH(E671,Products!$A$2:$A$9,0))</f>
        <v>349</v>
      </c>
      <c r="J671" s="7" t="n">
        <v>0</v>
      </c>
      <c r="K671" s="8" t="n">
        <f aca="false">H671*I671*(1-J671)</f>
        <v>6980</v>
      </c>
      <c r="L671" s="6" t="n">
        <f aca="false">H671*INDEX(Products!$E$2:$E$9,MATCH(E671,Products!$A$2:$A$9,0))</f>
        <v>4020</v>
      </c>
      <c r="M671" s="8" t="n">
        <f aca="false">K671-L671</f>
        <v>2960</v>
      </c>
      <c r="N671" s="2" t="s">
        <v>28</v>
      </c>
      <c r="O671" s="2" t="s">
        <v>43</v>
      </c>
    </row>
    <row r="672" customFormat="false" ht="15" hidden="false" customHeight="false" outlineLevel="0" collapsed="false">
      <c r="A672" s="2" t="s">
        <v>726</v>
      </c>
      <c r="B672" s="3" t="n">
        <v>45947</v>
      </c>
      <c r="C672" s="2" t="s">
        <v>30</v>
      </c>
      <c r="D672" s="2" t="s">
        <v>31</v>
      </c>
      <c r="E672" s="2" t="s">
        <v>23</v>
      </c>
      <c r="F672" s="4" t="str">
        <f aca="false">INDEX(Products!$B$2:$B$9,MATCH(E672,Products!$A$2:$A$9,0))</f>
        <v>Sensor Hub S</v>
      </c>
      <c r="G672" s="4" t="str">
        <f aca="false">INDEX(Products!$C$2:$C$9,MATCH(E672,Products!$A$2:$A$9,0))</f>
        <v>Hardware</v>
      </c>
      <c r="H672" s="5" t="n">
        <v>1</v>
      </c>
      <c r="I672" s="6" t="n">
        <f aca="false">INDEX(Products!$D$2:$D$9,MATCH(E672,Products!$A$2:$A$9,0))</f>
        <v>189</v>
      </c>
      <c r="J672" s="7" t="n">
        <v>0.05</v>
      </c>
      <c r="K672" s="8" t="n">
        <f aca="false">H672*I672*(1-J672)</f>
        <v>179.55</v>
      </c>
      <c r="L672" s="6" t="n">
        <f aca="false">H672*INDEX(Products!$E$2:$E$9,MATCH(E672,Products!$A$2:$A$9,0))</f>
        <v>98</v>
      </c>
      <c r="M672" s="8" t="n">
        <f aca="false">K672-L672</f>
        <v>81.55</v>
      </c>
      <c r="N672" s="2" t="s">
        <v>28</v>
      </c>
      <c r="O672" s="2" t="s">
        <v>64</v>
      </c>
    </row>
    <row r="673" customFormat="false" ht="15" hidden="false" customHeight="false" outlineLevel="0" collapsed="false">
      <c r="A673" s="2" t="s">
        <v>727</v>
      </c>
      <c r="B673" s="3" t="n">
        <v>45947</v>
      </c>
      <c r="C673" s="2" t="s">
        <v>16</v>
      </c>
      <c r="D673" s="2" t="s">
        <v>35</v>
      </c>
      <c r="E673" s="2" t="s">
        <v>32</v>
      </c>
      <c r="F673" s="4" t="str">
        <f aca="false">INDEX(Products!$B$2:$B$9,MATCH(E673,Products!$A$2:$A$9,0))</f>
        <v>Analytics Plus</v>
      </c>
      <c r="G673" s="4" t="str">
        <f aca="false">INDEX(Products!$C$2:$C$9,MATCH(E673,Products!$A$2:$A$9,0))</f>
        <v>Software</v>
      </c>
      <c r="H673" s="5" t="n">
        <v>2</v>
      </c>
      <c r="I673" s="6" t="n">
        <f aca="false">INDEX(Products!$D$2:$D$9,MATCH(E673,Products!$A$2:$A$9,0))</f>
        <v>290</v>
      </c>
      <c r="J673" s="7" t="n">
        <v>0.15</v>
      </c>
      <c r="K673" s="8" t="n">
        <f aca="false">H673*I673*(1-J673)</f>
        <v>493</v>
      </c>
      <c r="L673" s="6" t="n">
        <f aca="false">H673*INDEX(Products!$E$2:$E$9,MATCH(E673,Products!$A$2:$A$9,0))</f>
        <v>82</v>
      </c>
      <c r="M673" s="8" t="n">
        <f aca="false">K673-L673</f>
        <v>411</v>
      </c>
      <c r="N673" s="2" t="s">
        <v>19</v>
      </c>
      <c r="O673" s="2" t="s">
        <v>36</v>
      </c>
    </row>
    <row r="674" customFormat="false" ht="15" hidden="false" customHeight="false" outlineLevel="0" collapsed="false">
      <c r="A674" s="2" t="s">
        <v>728</v>
      </c>
      <c r="B674" s="3" t="n">
        <v>45947</v>
      </c>
      <c r="C674" s="2" t="s">
        <v>47</v>
      </c>
      <c r="D674" s="2" t="s">
        <v>71</v>
      </c>
      <c r="E674" s="2" t="s">
        <v>32</v>
      </c>
      <c r="F674" s="4" t="str">
        <f aca="false">INDEX(Products!$B$2:$B$9,MATCH(E674,Products!$A$2:$A$9,0))</f>
        <v>Analytics Plus</v>
      </c>
      <c r="G674" s="4" t="str">
        <f aca="false">INDEX(Products!$C$2:$C$9,MATCH(E674,Products!$A$2:$A$9,0))</f>
        <v>Software</v>
      </c>
      <c r="H674" s="5" t="n">
        <v>1</v>
      </c>
      <c r="I674" s="6" t="n">
        <f aca="false">INDEX(Products!$D$2:$D$9,MATCH(E674,Products!$A$2:$A$9,0))</f>
        <v>290</v>
      </c>
      <c r="J674" s="7" t="n">
        <v>0</v>
      </c>
      <c r="K674" s="8" t="n">
        <f aca="false">H674*I674*(1-J674)</f>
        <v>290</v>
      </c>
      <c r="L674" s="6" t="n">
        <f aca="false">H674*INDEX(Products!$E$2:$E$9,MATCH(E674,Products!$A$2:$A$9,0))</f>
        <v>41</v>
      </c>
      <c r="M674" s="8" t="n">
        <f aca="false">K674-L674</f>
        <v>249</v>
      </c>
      <c r="N674" s="2" t="s">
        <v>28</v>
      </c>
      <c r="O674" s="2" t="s">
        <v>72</v>
      </c>
    </row>
    <row r="675" customFormat="false" ht="15" hidden="false" customHeight="false" outlineLevel="0" collapsed="false">
      <c r="A675" s="2" t="s">
        <v>729</v>
      </c>
      <c r="B675" s="3" t="n">
        <v>45950</v>
      </c>
      <c r="C675" s="2" t="s">
        <v>30</v>
      </c>
      <c r="D675" s="2" t="s">
        <v>128</v>
      </c>
      <c r="E675" s="2" t="s">
        <v>23</v>
      </c>
      <c r="F675" s="4" t="str">
        <f aca="false">INDEX(Products!$B$2:$B$9,MATCH(E675,Products!$A$2:$A$9,0))</f>
        <v>Sensor Hub S</v>
      </c>
      <c r="G675" s="4" t="str">
        <f aca="false">INDEX(Products!$C$2:$C$9,MATCH(E675,Products!$A$2:$A$9,0))</f>
        <v>Hardware</v>
      </c>
      <c r="H675" s="5" t="n">
        <v>12</v>
      </c>
      <c r="I675" s="6" t="n">
        <f aca="false">INDEX(Products!$D$2:$D$9,MATCH(E675,Products!$A$2:$A$9,0))</f>
        <v>189</v>
      </c>
      <c r="J675" s="7" t="n">
        <v>0</v>
      </c>
      <c r="K675" s="8" t="n">
        <f aca="false">H675*I675*(1-J675)</f>
        <v>2268</v>
      </c>
      <c r="L675" s="6" t="n">
        <f aca="false">H675*INDEX(Products!$E$2:$E$9,MATCH(E675,Products!$A$2:$A$9,0))</f>
        <v>1176</v>
      </c>
      <c r="M675" s="8" t="n">
        <f aca="false">K675-L675</f>
        <v>1092</v>
      </c>
      <c r="N675" s="2" t="s">
        <v>28</v>
      </c>
      <c r="O675" s="2" t="s">
        <v>64</v>
      </c>
    </row>
    <row r="676" customFormat="false" ht="15" hidden="false" customHeight="false" outlineLevel="0" collapsed="false">
      <c r="A676" s="2" t="s">
        <v>730</v>
      </c>
      <c r="B676" s="3" t="n">
        <v>45950</v>
      </c>
      <c r="C676" s="2" t="s">
        <v>30</v>
      </c>
      <c r="D676" s="2" t="s">
        <v>31</v>
      </c>
      <c r="E676" s="2" t="s">
        <v>23</v>
      </c>
      <c r="F676" s="4" t="str">
        <f aca="false">INDEX(Products!$B$2:$B$9,MATCH(E676,Products!$A$2:$A$9,0))</f>
        <v>Sensor Hub S</v>
      </c>
      <c r="G676" s="4" t="str">
        <f aca="false">INDEX(Products!$C$2:$C$9,MATCH(E676,Products!$A$2:$A$9,0))</f>
        <v>Hardware</v>
      </c>
      <c r="H676" s="5" t="n">
        <v>2</v>
      </c>
      <c r="I676" s="6" t="n">
        <f aca="false">INDEX(Products!$D$2:$D$9,MATCH(E676,Products!$A$2:$A$9,0))</f>
        <v>189</v>
      </c>
      <c r="J676" s="7" t="n">
        <v>0</v>
      </c>
      <c r="K676" s="8" t="n">
        <f aca="false">H676*I676*(1-J676)</f>
        <v>378</v>
      </c>
      <c r="L676" s="6" t="n">
        <f aca="false">H676*INDEX(Products!$E$2:$E$9,MATCH(E676,Products!$A$2:$A$9,0))</f>
        <v>196</v>
      </c>
      <c r="M676" s="8" t="n">
        <f aca="false">K676-L676</f>
        <v>182</v>
      </c>
      <c r="N676" s="2" t="s">
        <v>38</v>
      </c>
      <c r="O676" s="2" t="s">
        <v>64</v>
      </c>
    </row>
    <row r="677" customFormat="false" ht="15" hidden="false" customHeight="false" outlineLevel="0" collapsed="false">
      <c r="A677" s="2" t="s">
        <v>731</v>
      </c>
      <c r="B677" s="3" t="n">
        <v>45950</v>
      </c>
      <c r="C677" s="2" t="s">
        <v>47</v>
      </c>
      <c r="D677" s="2" t="s">
        <v>48</v>
      </c>
      <c r="E677" s="2" t="s">
        <v>23</v>
      </c>
      <c r="F677" s="4" t="str">
        <f aca="false">INDEX(Products!$B$2:$B$9,MATCH(E677,Products!$A$2:$A$9,0))</f>
        <v>Sensor Hub S</v>
      </c>
      <c r="G677" s="4" t="str">
        <f aca="false">INDEX(Products!$C$2:$C$9,MATCH(E677,Products!$A$2:$A$9,0))</f>
        <v>Hardware</v>
      </c>
      <c r="H677" s="5" t="n">
        <v>10</v>
      </c>
      <c r="I677" s="6" t="n">
        <f aca="false">INDEX(Products!$D$2:$D$9,MATCH(E677,Products!$A$2:$A$9,0))</f>
        <v>189</v>
      </c>
      <c r="J677" s="7" t="n">
        <v>0.15</v>
      </c>
      <c r="K677" s="8" t="n">
        <f aca="false">H677*I677*(1-J677)</f>
        <v>1606.5</v>
      </c>
      <c r="L677" s="6" t="n">
        <f aca="false">H677*INDEX(Products!$E$2:$E$9,MATCH(E677,Products!$A$2:$A$9,0))</f>
        <v>980</v>
      </c>
      <c r="M677" s="8" t="n">
        <f aca="false">K677-L677</f>
        <v>626.5</v>
      </c>
      <c r="N677" s="2" t="s">
        <v>19</v>
      </c>
      <c r="O677" s="2" t="s">
        <v>50</v>
      </c>
    </row>
    <row r="678" customFormat="false" ht="15" hidden="false" customHeight="false" outlineLevel="0" collapsed="false">
      <c r="A678" s="2" t="s">
        <v>732</v>
      </c>
      <c r="B678" s="3" t="n">
        <v>45950</v>
      </c>
      <c r="C678" s="2" t="s">
        <v>41</v>
      </c>
      <c r="D678" s="2" t="s">
        <v>66</v>
      </c>
      <c r="E678" s="2" t="s">
        <v>61</v>
      </c>
      <c r="F678" s="4" t="str">
        <f aca="false">INDEX(Products!$B$2:$B$9,MATCH(E678,Products!$A$2:$A$9,0))</f>
        <v>Install Service</v>
      </c>
      <c r="G678" s="4" t="str">
        <f aca="false">INDEX(Products!$C$2:$C$9,MATCH(E678,Products!$A$2:$A$9,0))</f>
        <v>Services</v>
      </c>
      <c r="H678" s="5" t="n">
        <v>3</v>
      </c>
      <c r="I678" s="6" t="n">
        <f aca="false">INDEX(Products!$D$2:$D$9,MATCH(E678,Products!$A$2:$A$9,0))</f>
        <v>450</v>
      </c>
      <c r="J678" s="7" t="n">
        <v>0.05</v>
      </c>
      <c r="K678" s="8" t="n">
        <f aca="false">H678*I678*(1-J678)</f>
        <v>1282.5</v>
      </c>
      <c r="L678" s="6" t="n">
        <f aca="false">H678*INDEX(Products!$E$2:$E$9,MATCH(E678,Products!$A$2:$A$9,0))</f>
        <v>930</v>
      </c>
      <c r="M678" s="8" t="n">
        <f aca="false">K678-L678</f>
        <v>352.5</v>
      </c>
      <c r="N678" s="2" t="s">
        <v>28</v>
      </c>
      <c r="O678" s="2" t="s">
        <v>43</v>
      </c>
    </row>
    <row r="679" customFormat="false" ht="15" hidden="false" customHeight="false" outlineLevel="0" collapsed="false">
      <c r="A679" s="2" t="s">
        <v>733</v>
      </c>
      <c r="B679" s="3" t="n">
        <v>45950</v>
      </c>
      <c r="C679" s="2" t="s">
        <v>16</v>
      </c>
      <c r="D679" s="2" t="s">
        <v>22</v>
      </c>
      <c r="E679" s="2" t="s">
        <v>23</v>
      </c>
      <c r="F679" s="4" t="str">
        <f aca="false">INDEX(Products!$B$2:$B$9,MATCH(E679,Products!$A$2:$A$9,0))</f>
        <v>Sensor Hub S</v>
      </c>
      <c r="G679" s="4" t="str">
        <f aca="false">INDEX(Products!$C$2:$C$9,MATCH(E679,Products!$A$2:$A$9,0))</f>
        <v>Hardware</v>
      </c>
      <c r="H679" s="5" t="n">
        <v>5</v>
      </c>
      <c r="I679" s="6" t="n">
        <f aca="false">INDEX(Products!$D$2:$D$9,MATCH(E679,Products!$A$2:$A$9,0))</f>
        <v>189</v>
      </c>
      <c r="J679" s="7" t="n">
        <v>0.2</v>
      </c>
      <c r="K679" s="8" t="n">
        <f aca="false">H679*I679*(1-J679)</f>
        <v>756</v>
      </c>
      <c r="L679" s="6" t="n">
        <f aca="false">H679*INDEX(Products!$E$2:$E$9,MATCH(E679,Products!$A$2:$A$9,0))</f>
        <v>490</v>
      </c>
      <c r="M679" s="8" t="n">
        <f aca="false">K679-L679</f>
        <v>266</v>
      </c>
      <c r="N679" s="2" t="s">
        <v>19</v>
      </c>
      <c r="O679" s="2" t="s">
        <v>20</v>
      </c>
    </row>
    <row r="680" customFormat="false" ht="15" hidden="false" customHeight="false" outlineLevel="0" collapsed="false">
      <c r="A680" s="2" t="s">
        <v>734</v>
      </c>
      <c r="B680" s="3" t="n">
        <v>45951</v>
      </c>
      <c r="C680" s="2" t="s">
        <v>59</v>
      </c>
      <c r="D680" s="2" t="s">
        <v>91</v>
      </c>
      <c r="E680" s="2" t="s">
        <v>49</v>
      </c>
      <c r="F680" s="4" t="str">
        <f aca="false">INDEX(Products!$B$2:$B$9,MATCH(E680,Products!$A$2:$A$9,0))</f>
        <v>Mounting Kit</v>
      </c>
      <c r="G680" s="4" t="str">
        <f aca="false">INDEX(Products!$C$2:$C$9,MATCH(E680,Products!$A$2:$A$9,0))</f>
        <v>Accessories</v>
      </c>
      <c r="H680" s="5" t="n">
        <v>10</v>
      </c>
      <c r="I680" s="6" t="n">
        <f aca="false">INDEX(Products!$D$2:$D$9,MATCH(E680,Products!$A$2:$A$9,0))</f>
        <v>39</v>
      </c>
      <c r="J680" s="7" t="n">
        <v>0</v>
      </c>
      <c r="K680" s="8" t="n">
        <f aca="false">H680*I680*(1-J680)</f>
        <v>390</v>
      </c>
      <c r="L680" s="6" t="n">
        <f aca="false">H680*INDEX(Products!$E$2:$E$9,MATCH(E680,Products!$A$2:$A$9,0))</f>
        <v>315</v>
      </c>
      <c r="M680" s="8" t="n">
        <f aca="false">K680-L680</f>
        <v>75</v>
      </c>
      <c r="N680" s="2" t="s">
        <v>38</v>
      </c>
      <c r="O680" s="2" t="s">
        <v>62</v>
      </c>
    </row>
    <row r="681" customFormat="false" ht="15" hidden="false" customHeight="false" outlineLevel="0" collapsed="false">
      <c r="A681" s="2" t="s">
        <v>735</v>
      </c>
      <c r="B681" s="3" t="n">
        <v>45951</v>
      </c>
      <c r="C681" s="2" t="s">
        <v>41</v>
      </c>
      <c r="D681" s="2" t="s">
        <v>42</v>
      </c>
      <c r="E681" s="2" t="s">
        <v>26</v>
      </c>
      <c r="F681" s="4" t="str">
        <f aca="false">INDEX(Products!$B$2:$B$9,MATCH(E681,Products!$A$2:$A$9,0))</f>
        <v>Analytics Basic</v>
      </c>
      <c r="G681" s="4" t="str">
        <f aca="false">INDEX(Products!$C$2:$C$9,MATCH(E681,Products!$A$2:$A$9,0))</f>
        <v>Software</v>
      </c>
      <c r="H681" s="5" t="n">
        <v>5</v>
      </c>
      <c r="I681" s="6" t="n">
        <f aca="false">INDEX(Products!$D$2:$D$9,MATCH(E681,Products!$A$2:$A$9,0))</f>
        <v>120</v>
      </c>
      <c r="J681" s="7" t="n">
        <v>0</v>
      </c>
      <c r="K681" s="8" t="n">
        <f aca="false">H681*I681*(1-J681)</f>
        <v>600</v>
      </c>
      <c r="L681" s="6" t="n">
        <f aca="false">H681*INDEX(Products!$E$2:$E$9,MATCH(E681,Products!$A$2:$A$9,0))</f>
        <v>90</v>
      </c>
      <c r="M681" s="8" t="n">
        <f aca="false">K681-L681</f>
        <v>510</v>
      </c>
      <c r="N681" s="2" t="s">
        <v>28</v>
      </c>
      <c r="O681" s="2" t="s">
        <v>52</v>
      </c>
    </row>
    <row r="682" customFormat="false" ht="15" hidden="false" customHeight="false" outlineLevel="0" collapsed="false">
      <c r="A682" s="2" t="s">
        <v>736</v>
      </c>
      <c r="B682" s="3" t="n">
        <v>45951</v>
      </c>
      <c r="C682" s="2" t="s">
        <v>41</v>
      </c>
      <c r="D682" s="2" t="s">
        <v>66</v>
      </c>
      <c r="E682" s="2" t="s">
        <v>49</v>
      </c>
      <c r="F682" s="4" t="str">
        <f aca="false">INDEX(Products!$B$2:$B$9,MATCH(E682,Products!$A$2:$A$9,0))</f>
        <v>Mounting Kit</v>
      </c>
      <c r="G682" s="4" t="str">
        <f aca="false">INDEX(Products!$C$2:$C$9,MATCH(E682,Products!$A$2:$A$9,0))</f>
        <v>Accessories</v>
      </c>
      <c r="H682" s="5" t="n">
        <v>3</v>
      </c>
      <c r="I682" s="6" t="n">
        <f aca="false">INDEX(Products!$D$2:$D$9,MATCH(E682,Products!$A$2:$A$9,0))</f>
        <v>39</v>
      </c>
      <c r="J682" s="7" t="n">
        <v>0.05</v>
      </c>
      <c r="K682" s="8" t="n">
        <f aca="false">H682*I682*(1-J682)</f>
        <v>111.15</v>
      </c>
      <c r="L682" s="6" t="n">
        <f aca="false">H682*INDEX(Products!$E$2:$E$9,MATCH(E682,Products!$A$2:$A$9,0))</f>
        <v>94.5</v>
      </c>
      <c r="M682" s="8" t="n">
        <f aca="false">K682-L682</f>
        <v>16.65</v>
      </c>
      <c r="N682" s="2" t="s">
        <v>28</v>
      </c>
      <c r="O682" s="2" t="s">
        <v>52</v>
      </c>
    </row>
    <row r="683" customFormat="false" ht="15" hidden="false" customHeight="false" outlineLevel="0" collapsed="false">
      <c r="A683" s="2" t="s">
        <v>737</v>
      </c>
      <c r="B683" s="3" t="n">
        <v>45952</v>
      </c>
      <c r="C683" s="2" t="s">
        <v>16</v>
      </c>
      <c r="D683" s="2" t="s">
        <v>17</v>
      </c>
      <c r="E683" s="2" t="s">
        <v>23</v>
      </c>
      <c r="F683" s="4" t="str">
        <f aca="false">INDEX(Products!$B$2:$B$9,MATCH(E683,Products!$A$2:$A$9,0))</f>
        <v>Sensor Hub S</v>
      </c>
      <c r="G683" s="4" t="str">
        <f aca="false">INDEX(Products!$C$2:$C$9,MATCH(E683,Products!$A$2:$A$9,0))</f>
        <v>Hardware</v>
      </c>
      <c r="H683" s="5" t="n">
        <v>2</v>
      </c>
      <c r="I683" s="6" t="n">
        <f aca="false">INDEX(Products!$D$2:$D$9,MATCH(E683,Products!$A$2:$A$9,0))</f>
        <v>189</v>
      </c>
      <c r="J683" s="7" t="n">
        <v>0</v>
      </c>
      <c r="K683" s="8" t="n">
        <f aca="false">H683*I683*(1-J683)</f>
        <v>378</v>
      </c>
      <c r="L683" s="6" t="n">
        <f aca="false">H683*INDEX(Products!$E$2:$E$9,MATCH(E683,Products!$A$2:$A$9,0))</f>
        <v>196</v>
      </c>
      <c r="M683" s="8" t="n">
        <f aca="false">K683-L683</f>
        <v>182</v>
      </c>
      <c r="N683" s="2" t="s">
        <v>38</v>
      </c>
      <c r="O683" s="2" t="s">
        <v>20</v>
      </c>
    </row>
    <row r="684" customFormat="false" ht="15" hidden="false" customHeight="false" outlineLevel="0" collapsed="false">
      <c r="A684" s="2" t="s">
        <v>738</v>
      </c>
      <c r="B684" s="3" t="n">
        <v>45952</v>
      </c>
      <c r="C684" s="2" t="s">
        <v>59</v>
      </c>
      <c r="D684" s="2" t="s">
        <v>60</v>
      </c>
      <c r="E684" s="2" t="s">
        <v>18</v>
      </c>
      <c r="F684" s="4" t="str">
        <f aca="false">INDEX(Products!$B$2:$B$9,MATCH(E684,Products!$A$2:$A$9,0))</f>
        <v>Sensor Hub Pro</v>
      </c>
      <c r="G684" s="4" t="str">
        <f aca="false">INDEX(Products!$C$2:$C$9,MATCH(E684,Products!$A$2:$A$9,0))</f>
        <v>Hardware</v>
      </c>
      <c r="H684" s="5" t="n">
        <v>4</v>
      </c>
      <c r="I684" s="6" t="n">
        <f aca="false">INDEX(Products!$D$2:$D$9,MATCH(E684,Products!$A$2:$A$9,0))</f>
        <v>349</v>
      </c>
      <c r="J684" s="7" t="n">
        <v>0.15</v>
      </c>
      <c r="K684" s="8" t="n">
        <f aca="false">H684*I684*(1-J684)</f>
        <v>1186.6</v>
      </c>
      <c r="L684" s="6" t="n">
        <f aca="false">H684*INDEX(Products!$E$2:$E$9,MATCH(E684,Products!$A$2:$A$9,0))</f>
        <v>804</v>
      </c>
      <c r="M684" s="8" t="n">
        <f aca="false">K684-L684</f>
        <v>382.6</v>
      </c>
      <c r="N684" s="2" t="s">
        <v>28</v>
      </c>
      <c r="O684" s="2" t="s">
        <v>62</v>
      </c>
    </row>
    <row r="685" customFormat="false" ht="15" hidden="false" customHeight="false" outlineLevel="0" collapsed="false">
      <c r="A685" s="2" t="s">
        <v>739</v>
      </c>
      <c r="B685" s="3" t="n">
        <v>45952</v>
      </c>
      <c r="C685" s="2" t="s">
        <v>30</v>
      </c>
      <c r="D685" s="2" t="s">
        <v>31</v>
      </c>
      <c r="E685" s="2" t="s">
        <v>26</v>
      </c>
      <c r="F685" s="4" t="str">
        <f aca="false">INDEX(Products!$B$2:$B$9,MATCH(E685,Products!$A$2:$A$9,0))</f>
        <v>Analytics Basic</v>
      </c>
      <c r="G685" s="4" t="str">
        <f aca="false">INDEX(Products!$C$2:$C$9,MATCH(E685,Products!$A$2:$A$9,0))</f>
        <v>Software</v>
      </c>
      <c r="H685" s="5" t="n">
        <v>3</v>
      </c>
      <c r="I685" s="6" t="n">
        <f aca="false">INDEX(Products!$D$2:$D$9,MATCH(E685,Products!$A$2:$A$9,0))</f>
        <v>120</v>
      </c>
      <c r="J685" s="7" t="n">
        <v>0</v>
      </c>
      <c r="K685" s="8" t="n">
        <f aca="false">H685*I685*(1-J685)</f>
        <v>360</v>
      </c>
      <c r="L685" s="6" t="n">
        <f aca="false">H685*INDEX(Products!$E$2:$E$9,MATCH(E685,Products!$A$2:$A$9,0))</f>
        <v>54</v>
      </c>
      <c r="M685" s="8" t="n">
        <f aca="false">K685-L685</f>
        <v>306</v>
      </c>
      <c r="N685" s="2" t="s">
        <v>38</v>
      </c>
      <c r="O685" s="2" t="s">
        <v>64</v>
      </c>
    </row>
    <row r="686" customFormat="false" ht="15" hidden="false" customHeight="false" outlineLevel="0" collapsed="false">
      <c r="A686" s="2" t="s">
        <v>740</v>
      </c>
      <c r="B686" s="3" t="n">
        <v>45952</v>
      </c>
      <c r="C686" s="2" t="s">
        <v>47</v>
      </c>
      <c r="D686" s="2" t="s">
        <v>48</v>
      </c>
      <c r="E686" s="2" t="s">
        <v>23</v>
      </c>
      <c r="F686" s="4" t="str">
        <f aca="false">INDEX(Products!$B$2:$B$9,MATCH(E686,Products!$A$2:$A$9,0))</f>
        <v>Sensor Hub S</v>
      </c>
      <c r="G686" s="4" t="str">
        <f aca="false">INDEX(Products!$C$2:$C$9,MATCH(E686,Products!$A$2:$A$9,0))</f>
        <v>Hardware</v>
      </c>
      <c r="H686" s="5" t="n">
        <v>3</v>
      </c>
      <c r="I686" s="6" t="n">
        <f aca="false">INDEX(Products!$D$2:$D$9,MATCH(E686,Products!$A$2:$A$9,0))</f>
        <v>189</v>
      </c>
      <c r="J686" s="7" t="n">
        <v>0.05</v>
      </c>
      <c r="K686" s="8" t="n">
        <f aca="false">H686*I686*(1-J686)</f>
        <v>538.65</v>
      </c>
      <c r="L686" s="6" t="n">
        <f aca="false">H686*INDEX(Products!$E$2:$E$9,MATCH(E686,Products!$A$2:$A$9,0))</f>
        <v>294</v>
      </c>
      <c r="M686" s="8" t="n">
        <f aca="false">K686-L686</f>
        <v>244.65</v>
      </c>
      <c r="N686" s="2" t="s">
        <v>28</v>
      </c>
      <c r="O686" s="2" t="s">
        <v>72</v>
      </c>
    </row>
    <row r="687" customFormat="false" ht="15" hidden="false" customHeight="false" outlineLevel="0" collapsed="false">
      <c r="A687" s="2" t="s">
        <v>741</v>
      </c>
      <c r="B687" s="3" t="n">
        <v>45953</v>
      </c>
      <c r="C687" s="2" t="s">
        <v>16</v>
      </c>
      <c r="D687" s="2" t="s">
        <v>17</v>
      </c>
      <c r="E687" s="2" t="s">
        <v>18</v>
      </c>
      <c r="F687" s="4" t="str">
        <f aca="false">INDEX(Products!$B$2:$B$9,MATCH(E687,Products!$A$2:$A$9,0))</f>
        <v>Sensor Hub Pro</v>
      </c>
      <c r="G687" s="4" t="str">
        <f aca="false">INDEX(Products!$C$2:$C$9,MATCH(E687,Products!$A$2:$A$9,0))</f>
        <v>Hardware</v>
      </c>
      <c r="H687" s="5" t="n">
        <v>12</v>
      </c>
      <c r="I687" s="6" t="n">
        <f aca="false">INDEX(Products!$D$2:$D$9,MATCH(E687,Products!$A$2:$A$9,0))</f>
        <v>349</v>
      </c>
      <c r="J687" s="7" t="n">
        <v>0</v>
      </c>
      <c r="K687" s="8" t="n">
        <f aca="false">H687*I687*(1-J687)</f>
        <v>4188</v>
      </c>
      <c r="L687" s="6" t="n">
        <f aca="false">H687*INDEX(Products!$E$2:$E$9,MATCH(E687,Products!$A$2:$A$9,0))</f>
        <v>2412</v>
      </c>
      <c r="M687" s="8" t="n">
        <f aca="false">K687-L687</f>
        <v>1776</v>
      </c>
      <c r="N687" s="2" t="s">
        <v>28</v>
      </c>
      <c r="O687" s="2" t="s">
        <v>20</v>
      </c>
    </row>
    <row r="688" customFormat="false" ht="15" hidden="false" customHeight="false" outlineLevel="0" collapsed="false">
      <c r="A688" s="2" t="s">
        <v>742</v>
      </c>
      <c r="B688" s="3" t="n">
        <v>45953</v>
      </c>
      <c r="C688" s="2" t="s">
        <v>30</v>
      </c>
      <c r="D688" s="2" t="s">
        <v>128</v>
      </c>
      <c r="E688" s="2" t="s">
        <v>23</v>
      </c>
      <c r="F688" s="4" t="str">
        <f aca="false">INDEX(Products!$B$2:$B$9,MATCH(E688,Products!$A$2:$A$9,0))</f>
        <v>Sensor Hub S</v>
      </c>
      <c r="G688" s="4" t="str">
        <f aca="false">INDEX(Products!$C$2:$C$9,MATCH(E688,Products!$A$2:$A$9,0))</f>
        <v>Hardware</v>
      </c>
      <c r="H688" s="5" t="n">
        <v>12</v>
      </c>
      <c r="I688" s="6" t="n">
        <f aca="false">INDEX(Products!$D$2:$D$9,MATCH(E688,Products!$A$2:$A$9,0))</f>
        <v>189</v>
      </c>
      <c r="J688" s="7" t="n">
        <v>0.1</v>
      </c>
      <c r="K688" s="8" t="n">
        <f aca="false">H688*I688*(1-J688)</f>
        <v>2041.2</v>
      </c>
      <c r="L688" s="6" t="n">
        <f aca="false">H688*INDEX(Products!$E$2:$E$9,MATCH(E688,Products!$A$2:$A$9,0))</f>
        <v>1176</v>
      </c>
      <c r="M688" s="8" t="n">
        <f aca="false">K688-L688</f>
        <v>865.2</v>
      </c>
      <c r="N688" s="2" t="s">
        <v>19</v>
      </c>
      <c r="O688" s="2" t="s">
        <v>33</v>
      </c>
    </row>
    <row r="689" customFormat="false" ht="15" hidden="false" customHeight="false" outlineLevel="0" collapsed="false">
      <c r="A689" s="2" t="s">
        <v>743</v>
      </c>
      <c r="B689" s="3" t="n">
        <v>45953</v>
      </c>
      <c r="C689" s="2" t="s">
        <v>16</v>
      </c>
      <c r="D689" s="2" t="s">
        <v>35</v>
      </c>
      <c r="E689" s="2" t="s">
        <v>68</v>
      </c>
      <c r="F689" s="4" t="str">
        <f aca="false">INDEX(Products!$B$2:$B$9,MATCH(E689,Products!$A$2:$A$9,0))</f>
        <v>Premium Support</v>
      </c>
      <c r="G689" s="4" t="str">
        <f aca="false">INDEX(Products!$C$2:$C$9,MATCH(E689,Products!$A$2:$A$9,0))</f>
        <v>Services</v>
      </c>
      <c r="H689" s="5" t="n">
        <v>2</v>
      </c>
      <c r="I689" s="6" t="n">
        <f aca="false">INDEX(Products!$D$2:$D$9,MATCH(E689,Products!$A$2:$A$9,0))</f>
        <v>600</v>
      </c>
      <c r="J689" s="7" t="n">
        <v>0</v>
      </c>
      <c r="K689" s="8" t="n">
        <f aca="false">H689*I689*(1-J689)</f>
        <v>1200</v>
      </c>
      <c r="L689" s="6" t="n">
        <f aca="false">H689*INDEX(Products!$E$2:$E$9,MATCH(E689,Products!$A$2:$A$9,0))</f>
        <v>790</v>
      </c>
      <c r="M689" s="8" t="n">
        <f aca="false">K689-L689</f>
        <v>410</v>
      </c>
      <c r="N689" s="2" t="s">
        <v>28</v>
      </c>
      <c r="O689" s="2" t="s">
        <v>20</v>
      </c>
    </row>
    <row r="690" customFormat="false" ht="15" hidden="false" customHeight="false" outlineLevel="0" collapsed="false">
      <c r="A690" s="2" t="s">
        <v>744</v>
      </c>
      <c r="B690" s="3" t="n">
        <v>45953</v>
      </c>
      <c r="C690" s="2" t="s">
        <v>30</v>
      </c>
      <c r="D690" s="2" t="s">
        <v>128</v>
      </c>
      <c r="E690" s="2" t="s">
        <v>26</v>
      </c>
      <c r="F690" s="4" t="str">
        <f aca="false">INDEX(Products!$B$2:$B$9,MATCH(E690,Products!$A$2:$A$9,0))</f>
        <v>Analytics Basic</v>
      </c>
      <c r="G690" s="4" t="str">
        <f aca="false">INDEX(Products!$C$2:$C$9,MATCH(E690,Products!$A$2:$A$9,0))</f>
        <v>Software</v>
      </c>
      <c r="H690" s="5" t="n">
        <v>1</v>
      </c>
      <c r="I690" s="6" t="n">
        <f aca="false">INDEX(Products!$D$2:$D$9,MATCH(E690,Products!$A$2:$A$9,0))</f>
        <v>120</v>
      </c>
      <c r="J690" s="7" t="n">
        <v>0</v>
      </c>
      <c r="K690" s="8" t="n">
        <f aca="false">H690*I690*(1-J690)</f>
        <v>120</v>
      </c>
      <c r="L690" s="6" t="n">
        <f aca="false">H690*INDEX(Products!$E$2:$E$9,MATCH(E690,Products!$A$2:$A$9,0))</f>
        <v>18</v>
      </c>
      <c r="M690" s="8" t="n">
        <f aca="false">K690-L690</f>
        <v>102</v>
      </c>
      <c r="N690" s="2" t="s">
        <v>38</v>
      </c>
      <c r="O690" s="2" t="s">
        <v>64</v>
      </c>
    </row>
    <row r="691" customFormat="false" ht="15" hidden="false" customHeight="false" outlineLevel="0" collapsed="false">
      <c r="A691" s="2" t="s">
        <v>745</v>
      </c>
      <c r="B691" s="3" t="n">
        <v>45954</v>
      </c>
      <c r="C691" s="2" t="s">
        <v>16</v>
      </c>
      <c r="D691" s="2" t="s">
        <v>35</v>
      </c>
      <c r="E691" s="2" t="s">
        <v>26</v>
      </c>
      <c r="F691" s="4" t="str">
        <f aca="false">INDEX(Products!$B$2:$B$9,MATCH(E691,Products!$A$2:$A$9,0))</f>
        <v>Analytics Basic</v>
      </c>
      <c r="G691" s="4" t="str">
        <f aca="false">INDEX(Products!$C$2:$C$9,MATCH(E691,Products!$A$2:$A$9,0))</f>
        <v>Software</v>
      </c>
      <c r="H691" s="5" t="n">
        <v>1</v>
      </c>
      <c r="I691" s="6" t="n">
        <f aca="false">INDEX(Products!$D$2:$D$9,MATCH(E691,Products!$A$2:$A$9,0))</f>
        <v>120</v>
      </c>
      <c r="J691" s="7" t="n">
        <v>0.1</v>
      </c>
      <c r="K691" s="8" t="n">
        <f aca="false">H691*I691*(1-J691)</f>
        <v>108</v>
      </c>
      <c r="L691" s="6" t="n">
        <f aca="false">H691*INDEX(Products!$E$2:$E$9,MATCH(E691,Products!$A$2:$A$9,0))</f>
        <v>18</v>
      </c>
      <c r="M691" s="8" t="n">
        <f aca="false">K691-L691</f>
        <v>90</v>
      </c>
      <c r="N691" s="2" t="s">
        <v>19</v>
      </c>
      <c r="O691" s="2" t="s">
        <v>36</v>
      </c>
    </row>
    <row r="692" customFormat="false" ht="15" hidden="false" customHeight="false" outlineLevel="0" collapsed="false">
      <c r="A692" s="2" t="s">
        <v>746</v>
      </c>
      <c r="B692" s="3" t="n">
        <v>45954</v>
      </c>
      <c r="C692" s="2" t="s">
        <v>16</v>
      </c>
      <c r="D692" s="2" t="s">
        <v>17</v>
      </c>
      <c r="E692" s="2" t="s">
        <v>32</v>
      </c>
      <c r="F692" s="4" t="str">
        <f aca="false">INDEX(Products!$B$2:$B$9,MATCH(E692,Products!$A$2:$A$9,0))</f>
        <v>Analytics Plus</v>
      </c>
      <c r="G692" s="4" t="str">
        <f aca="false">INDEX(Products!$C$2:$C$9,MATCH(E692,Products!$A$2:$A$9,0))</f>
        <v>Software</v>
      </c>
      <c r="H692" s="5" t="n">
        <v>2</v>
      </c>
      <c r="I692" s="6" t="n">
        <f aca="false">INDEX(Products!$D$2:$D$9,MATCH(E692,Products!$A$2:$A$9,0))</f>
        <v>290</v>
      </c>
      <c r="J692" s="7" t="n">
        <v>0.15</v>
      </c>
      <c r="K692" s="8" t="n">
        <f aca="false">H692*I692*(1-J692)</f>
        <v>493</v>
      </c>
      <c r="L692" s="6" t="n">
        <f aca="false">H692*INDEX(Products!$E$2:$E$9,MATCH(E692,Products!$A$2:$A$9,0))</f>
        <v>82</v>
      </c>
      <c r="M692" s="8" t="n">
        <f aca="false">K692-L692</f>
        <v>411</v>
      </c>
      <c r="N692" s="2" t="s">
        <v>38</v>
      </c>
      <c r="O692" s="2" t="s">
        <v>36</v>
      </c>
    </row>
    <row r="693" customFormat="false" ht="15" hidden="false" customHeight="false" outlineLevel="0" collapsed="false">
      <c r="A693" s="2" t="s">
        <v>747</v>
      </c>
      <c r="B693" s="3" t="n">
        <v>45954</v>
      </c>
      <c r="C693" s="2" t="s">
        <v>47</v>
      </c>
      <c r="D693" s="2" t="s">
        <v>71</v>
      </c>
      <c r="E693" s="2" t="s">
        <v>61</v>
      </c>
      <c r="F693" s="4" t="str">
        <f aca="false">INDEX(Products!$B$2:$B$9,MATCH(E693,Products!$A$2:$A$9,0))</f>
        <v>Install Service</v>
      </c>
      <c r="G693" s="4" t="str">
        <f aca="false">INDEX(Products!$C$2:$C$9,MATCH(E693,Products!$A$2:$A$9,0))</f>
        <v>Services</v>
      </c>
      <c r="H693" s="5" t="n">
        <v>1</v>
      </c>
      <c r="I693" s="6" t="n">
        <f aca="false">INDEX(Products!$D$2:$D$9,MATCH(E693,Products!$A$2:$A$9,0))</f>
        <v>450</v>
      </c>
      <c r="J693" s="7" t="n">
        <v>0</v>
      </c>
      <c r="K693" s="8" t="n">
        <f aca="false">H693*I693*(1-J693)</f>
        <v>450</v>
      </c>
      <c r="L693" s="6" t="n">
        <f aca="false">H693*INDEX(Products!$E$2:$E$9,MATCH(E693,Products!$A$2:$A$9,0))</f>
        <v>310</v>
      </c>
      <c r="M693" s="8" t="n">
        <f aca="false">K693-L693</f>
        <v>140</v>
      </c>
      <c r="N693" s="2" t="s">
        <v>28</v>
      </c>
      <c r="O693" s="2" t="s">
        <v>72</v>
      </c>
    </row>
    <row r="694" customFormat="false" ht="15" hidden="false" customHeight="false" outlineLevel="0" collapsed="false">
      <c r="A694" s="2" t="s">
        <v>748</v>
      </c>
      <c r="B694" s="3" t="n">
        <v>45957</v>
      </c>
      <c r="C694" s="2" t="s">
        <v>41</v>
      </c>
      <c r="D694" s="2" t="s">
        <v>66</v>
      </c>
      <c r="E694" s="2" t="s">
        <v>61</v>
      </c>
      <c r="F694" s="4" t="str">
        <f aca="false">INDEX(Products!$B$2:$B$9,MATCH(E694,Products!$A$2:$A$9,0))</f>
        <v>Install Service</v>
      </c>
      <c r="G694" s="4" t="str">
        <f aca="false">INDEX(Products!$C$2:$C$9,MATCH(E694,Products!$A$2:$A$9,0))</f>
        <v>Services</v>
      </c>
      <c r="H694" s="5" t="n">
        <v>2</v>
      </c>
      <c r="I694" s="6" t="n">
        <f aca="false">INDEX(Products!$D$2:$D$9,MATCH(E694,Products!$A$2:$A$9,0))</f>
        <v>450</v>
      </c>
      <c r="J694" s="7" t="n">
        <v>0.15</v>
      </c>
      <c r="K694" s="8" t="n">
        <f aca="false">H694*I694*(1-J694)</f>
        <v>765</v>
      </c>
      <c r="L694" s="6" t="n">
        <f aca="false">H694*INDEX(Products!$E$2:$E$9,MATCH(E694,Products!$A$2:$A$9,0))</f>
        <v>620</v>
      </c>
      <c r="M694" s="8" t="n">
        <f aca="false">K694-L694</f>
        <v>145</v>
      </c>
      <c r="N694" s="2" t="s">
        <v>19</v>
      </c>
      <c r="O694" s="2" t="s">
        <v>43</v>
      </c>
    </row>
    <row r="695" customFormat="false" ht="15" hidden="false" customHeight="false" outlineLevel="0" collapsed="false">
      <c r="A695" s="2" t="s">
        <v>749</v>
      </c>
      <c r="B695" s="3" t="n">
        <v>45957</v>
      </c>
      <c r="C695" s="2" t="s">
        <v>41</v>
      </c>
      <c r="D695" s="2" t="s">
        <v>66</v>
      </c>
      <c r="E695" s="2" t="s">
        <v>49</v>
      </c>
      <c r="F695" s="4" t="str">
        <f aca="false">INDEX(Products!$B$2:$B$9,MATCH(E695,Products!$A$2:$A$9,0))</f>
        <v>Mounting Kit</v>
      </c>
      <c r="G695" s="4" t="str">
        <f aca="false">INDEX(Products!$C$2:$C$9,MATCH(E695,Products!$A$2:$A$9,0))</f>
        <v>Accessories</v>
      </c>
      <c r="H695" s="5" t="n">
        <v>10</v>
      </c>
      <c r="I695" s="6" t="n">
        <f aca="false">INDEX(Products!$D$2:$D$9,MATCH(E695,Products!$A$2:$A$9,0))</f>
        <v>39</v>
      </c>
      <c r="J695" s="7" t="n">
        <v>0</v>
      </c>
      <c r="K695" s="8" t="n">
        <f aca="false">H695*I695*(1-J695)</f>
        <v>390</v>
      </c>
      <c r="L695" s="6" t="n">
        <f aca="false">H695*INDEX(Products!$E$2:$E$9,MATCH(E695,Products!$A$2:$A$9,0))</f>
        <v>315</v>
      </c>
      <c r="M695" s="8" t="n">
        <f aca="false">K695-L695</f>
        <v>75</v>
      </c>
      <c r="N695" s="2" t="s">
        <v>28</v>
      </c>
      <c r="O695" s="2" t="s">
        <v>52</v>
      </c>
    </row>
    <row r="696" customFormat="false" ht="15" hidden="false" customHeight="false" outlineLevel="0" collapsed="false">
      <c r="A696" s="2" t="s">
        <v>750</v>
      </c>
      <c r="B696" s="3" t="n">
        <v>45957</v>
      </c>
      <c r="C696" s="2" t="s">
        <v>47</v>
      </c>
      <c r="D696" s="2" t="s">
        <v>71</v>
      </c>
      <c r="E696" s="2" t="s">
        <v>49</v>
      </c>
      <c r="F696" s="4" t="str">
        <f aca="false">INDEX(Products!$B$2:$B$9,MATCH(E696,Products!$A$2:$A$9,0))</f>
        <v>Mounting Kit</v>
      </c>
      <c r="G696" s="4" t="str">
        <f aca="false">INDEX(Products!$C$2:$C$9,MATCH(E696,Products!$A$2:$A$9,0))</f>
        <v>Accessories</v>
      </c>
      <c r="H696" s="5" t="n">
        <v>1</v>
      </c>
      <c r="I696" s="6" t="n">
        <f aca="false">INDEX(Products!$D$2:$D$9,MATCH(E696,Products!$A$2:$A$9,0))</f>
        <v>39</v>
      </c>
      <c r="J696" s="7" t="n">
        <v>0.05</v>
      </c>
      <c r="K696" s="8" t="n">
        <f aca="false">H696*I696*(1-J696)</f>
        <v>37.05</v>
      </c>
      <c r="L696" s="6" t="n">
        <f aca="false">H696*INDEX(Products!$E$2:$E$9,MATCH(E696,Products!$A$2:$A$9,0))</f>
        <v>31.5</v>
      </c>
      <c r="M696" s="8" t="n">
        <f aca="false">K696-L696</f>
        <v>5.55</v>
      </c>
      <c r="N696" s="2" t="s">
        <v>28</v>
      </c>
      <c r="O696" s="2" t="s">
        <v>50</v>
      </c>
    </row>
    <row r="697" customFormat="false" ht="15" hidden="false" customHeight="false" outlineLevel="0" collapsed="false">
      <c r="A697" s="2" t="s">
        <v>751</v>
      </c>
      <c r="B697" s="3" t="n">
        <v>45957</v>
      </c>
      <c r="C697" s="2" t="s">
        <v>47</v>
      </c>
      <c r="D697" s="2" t="s">
        <v>157</v>
      </c>
      <c r="E697" s="2" t="s">
        <v>18</v>
      </c>
      <c r="F697" s="4" t="str">
        <f aca="false">INDEX(Products!$B$2:$B$9,MATCH(E697,Products!$A$2:$A$9,0))</f>
        <v>Sensor Hub Pro</v>
      </c>
      <c r="G697" s="4" t="str">
        <f aca="false">INDEX(Products!$C$2:$C$9,MATCH(E697,Products!$A$2:$A$9,0))</f>
        <v>Hardware</v>
      </c>
      <c r="H697" s="5" t="n">
        <v>12</v>
      </c>
      <c r="I697" s="6" t="n">
        <f aca="false">INDEX(Products!$D$2:$D$9,MATCH(E697,Products!$A$2:$A$9,0))</f>
        <v>349</v>
      </c>
      <c r="J697" s="7" t="n">
        <v>0.25</v>
      </c>
      <c r="K697" s="8" t="n">
        <f aca="false">H697*I697*(1-J697)</f>
        <v>3141</v>
      </c>
      <c r="L697" s="6" t="n">
        <f aca="false">H697*INDEX(Products!$E$2:$E$9,MATCH(E697,Products!$A$2:$A$9,0))</f>
        <v>2412</v>
      </c>
      <c r="M697" s="8" t="n">
        <f aca="false">K697-L697</f>
        <v>729</v>
      </c>
      <c r="N697" s="2" t="s">
        <v>19</v>
      </c>
      <c r="O697" s="2" t="s">
        <v>72</v>
      </c>
    </row>
    <row r="698" customFormat="false" ht="15" hidden="false" customHeight="false" outlineLevel="0" collapsed="false">
      <c r="A698" s="2" t="s">
        <v>752</v>
      </c>
      <c r="B698" s="3" t="n">
        <v>45957</v>
      </c>
      <c r="C698" s="2" t="s">
        <v>59</v>
      </c>
      <c r="D698" s="2" t="s">
        <v>101</v>
      </c>
      <c r="E698" s="2" t="s">
        <v>32</v>
      </c>
      <c r="F698" s="4" t="str">
        <f aca="false">INDEX(Products!$B$2:$B$9,MATCH(E698,Products!$A$2:$A$9,0))</f>
        <v>Analytics Plus</v>
      </c>
      <c r="G698" s="4" t="str">
        <f aca="false">INDEX(Products!$C$2:$C$9,MATCH(E698,Products!$A$2:$A$9,0))</f>
        <v>Software</v>
      </c>
      <c r="H698" s="5" t="n">
        <v>2</v>
      </c>
      <c r="I698" s="6" t="n">
        <f aca="false">INDEX(Products!$D$2:$D$9,MATCH(E698,Products!$A$2:$A$9,0))</f>
        <v>290</v>
      </c>
      <c r="J698" s="7" t="n">
        <v>0.15</v>
      </c>
      <c r="K698" s="8" t="n">
        <f aca="false">H698*I698*(1-J698)</f>
        <v>493</v>
      </c>
      <c r="L698" s="6" t="n">
        <f aca="false">H698*INDEX(Products!$E$2:$E$9,MATCH(E698,Products!$A$2:$A$9,0))</f>
        <v>82</v>
      </c>
      <c r="M698" s="8" t="n">
        <f aca="false">K698-L698</f>
        <v>411</v>
      </c>
      <c r="N698" s="2" t="s">
        <v>19</v>
      </c>
      <c r="O698" s="2" t="s">
        <v>62</v>
      </c>
    </row>
    <row r="699" customFormat="false" ht="15" hidden="false" customHeight="false" outlineLevel="0" collapsed="false">
      <c r="A699" s="2" t="s">
        <v>753</v>
      </c>
      <c r="B699" s="3" t="n">
        <v>45958</v>
      </c>
      <c r="C699" s="2" t="s">
        <v>41</v>
      </c>
      <c r="D699" s="2" t="s">
        <v>42</v>
      </c>
      <c r="E699" s="2" t="s">
        <v>68</v>
      </c>
      <c r="F699" s="4" t="str">
        <f aca="false">INDEX(Products!$B$2:$B$9,MATCH(E699,Products!$A$2:$A$9,0))</f>
        <v>Premium Support</v>
      </c>
      <c r="G699" s="4" t="str">
        <f aca="false">INDEX(Products!$C$2:$C$9,MATCH(E699,Products!$A$2:$A$9,0))</f>
        <v>Services</v>
      </c>
      <c r="H699" s="5" t="n">
        <v>1</v>
      </c>
      <c r="I699" s="6" t="n">
        <f aca="false">INDEX(Products!$D$2:$D$9,MATCH(E699,Products!$A$2:$A$9,0))</f>
        <v>600</v>
      </c>
      <c r="J699" s="7" t="n">
        <v>0.1</v>
      </c>
      <c r="K699" s="8" t="n">
        <f aca="false">H699*I699*(1-J699)</f>
        <v>540</v>
      </c>
      <c r="L699" s="6" t="n">
        <f aca="false">H699*INDEX(Products!$E$2:$E$9,MATCH(E699,Products!$A$2:$A$9,0))</f>
        <v>395</v>
      </c>
      <c r="M699" s="8" t="n">
        <f aca="false">K699-L699</f>
        <v>145</v>
      </c>
      <c r="N699" s="2" t="s">
        <v>19</v>
      </c>
      <c r="O699" s="2" t="s">
        <v>52</v>
      </c>
    </row>
    <row r="700" customFormat="false" ht="15" hidden="false" customHeight="false" outlineLevel="0" collapsed="false">
      <c r="A700" s="2" t="s">
        <v>754</v>
      </c>
      <c r="B700" s="3" t="n">
        <v>45958</v>
      </c>
      <c r="C700" s="2" t="s">
        <v>16</v>
      </c>
      <c r="D700" s="2" t="s">
        <v>17</v>
      </c>
      <c r="E700" s="2" t="s">
        <v>32</v>
      </c>
      <c r="F700" s="4" t="str">
        <f aca="false">INDEX(Products!$B$2:$B$9,MATCH(E700,Products!$A$2:$A$9,0))</f>
        <v>Analytics Plus</v>
      </c>
      <c r="G700" s="4" t="str">
        <f aca="false">INDEX(Products!$C$2:$C$9,MATCH(E700,Products!$A$2:$A$9,0))</f>
        <v>Software</v>
      </c>
      <c r="H700" s="5" t="n">
        <v>1</v>
      </c>
      <c r="I700" s="6" t="n">
        <f aca="false">INDEX(Products!$D$2:$D$9,MATCH(E700,Products!$A$2:$A$9,0))</f>
        <v>290</v>
      </c>
      <c r="J700" s="7" t="n">
        <v>0.05</v>
      </c>
      <c r="K700" s="8" t="n">
        <f aca="false">H700*I700*(1-J700)</f>
        <v>275.5</v>
      </c>
      <c r="L700" s="6" t="n">
        <f aca="false">H700*INDEX(Products!$E$2:$E$9,MATCH(E700,Products!$A$2:$A$9,0))</f>
        <v>41</v>
      </c>
      <c r="M700" s="8" t="n">
        <f aca="false">K700-L700</f>
        <v>234.5</v>
      </c>
      <c r="N700" s="2" t="s">
        <v>28</v>
      </c>
      <c r="O700" s="2" t="s">
        <v>20</v>
      </c>
    </row>
    <row r="701" customFormat="false" ht="15" hidden="false" customHeight="false" outlineLevel="0" collapsed="false">
      <c r="A701" s="2" t="s">
        <v>755</v>
      </c>
      <c r="B701" s="3" t="n">
        <v>45958</v>
      </c>
      <c r="C701" s="2" t="s">
        <v>16</v>
      </c>
      <c r="D701" s="2" t="s">
        <v>35</v>
      </c>
      <c r="E701" s="2" t="s">
        <v>26</v>
      </c>
      <c r="F701" s="4" t="str">
        <f aca="false">INDEX(Products!$B$2:$B$9,MATCH(E701,Products!$A$2:$A$9,0))</f>
        <v>Analytics Basic</v>
      </c>
      <c r="G701" s="4" t="str">
        <f aca="false">INDEX(Products!$C$2:$C$9,MATCH(E701,Products!$A$2:$A$9,0))</f>
        <v>Software</v>
      </c>
      <c r="H701" s="5" t="n">
        <v>1</v>
      </c>
      <c r="I701" s="6" t="n">
        <f aca="false">INDEX(Products!$D$2:$D$9,MATCH(E701,Products!$A$2:$A$9,0))</f>
        <v>120</v>
      </c>
      <c r="J701" s="7" t="n">
        <v>0.25</v>
      </c>
      <c r="K701" s="8" t="n">
        <f aca="false">H701*I701*(1-J701)</f>
        <v>90</v>
      </c>
      <c r="L701" s="6" t="n">
        <f aca="false">H701*INDEX(Products!$E$2:$E$9,MATCH(E701,Products!$A$2:$A$9,0))</f>
        <v>18</v>
      </c>
      <c r="M701" s="8" t="n">
        <f aca="false">K701-L701</f>
        <v>72</v>
      </c>
      <c r="N701" s="2" t="s">
        <v>19</v>
      </c>
      <c r="O701" s="2" t="s">
        <v>20</v>
      </c>
    </row>
    <row r="702" customFormat="false" ht="15" hidden="false" customHeight="false" outlineLevel="0" collapsed="false">
      <c r="A702" s="2" t="s">
        <v>756</v>
      </c>
      <c r="B702" s="3" t="n">
        <v>45958</v>
      </c>
      <c r="C702" s="2" t="s">
        <v>41</v>
      </c>
      <c r="D702" s="2" t="s">
        <v>42</v>
      </c>
      <c r="E702" s="2" t="s">
        <v>49</v>
      </c>
      <c r="F702" s="4" t="str">
        <f aca="false">INDEX(Products!$B$2:$B$9,MATCH(E702,Products!$A$2:$A$9,0))</f>
        <v>Mounting Kit</v>
      </c>
      <c r="G702" s="4" t="str">
        <f aca="false">INDEX(Products!$C$2:$C$9,MATCH(E702,Products!$A$2:$A$9,0))</f>
        <v>Accessories</v>
      </c>
      <c r="H702" s="5" t="n">
        <v>20</v>
      </c>
      <c r="I702" s="6" t="n">
        <f aca="false">INDEX(Products!$D$2:$D$9,MATCH(E702,Products!$A$2:$A$9,0))</f>
        <v>39</v>
      </c>
      <c r="J702" s="7" t="n">
        <v>0.05</v>
      </c>
      <c r="K702" s="8" t="n">
        <f aca="false">H702*I702*(1-J702)</f>
        <v>741</v>
      </c>
      <c r="L702" s="6" t="n">
        <f aca="false">H702*INDEX(Products!$E$2:$E$9,MATCH(E702,Products!$A$2:$A$9,0))</f>
        <v>630</v>
      </c>
      <c r="M702" s="8" t="n">
        <f aca="false">K702-L702</f>
        <v>111</v>
      </c>
      <c r="N702" s="2" t="s">
        <v>28</v>
      </c>
      <c r="O702" s="2" t="s">
        <v>52</v>
      </c>
    </row>
    <row r="703" customFormat="false" ht="15" hidden="false" customHeight="false" outlineLevel="0" collapsed="false">
      <c r="A703" s="2" t="s">
        <v>757</v>
      </c>
      <c r="B703" s="3" t="n">
        <v>45959</v>
      </c>
      <c r="C703" s="2" t="s">
        <v>16</v>
      </c>
      <c r="D703" s="2" t="s">
        <v>17</v>
      </c>
      <c r="E703" s="2" t="s">
        <v>18</v>
      </c>
      <c r="F703" s="4" t="str">
        <f aca="false">INDEX(Products!$B$2:$B$9,MATCH(E703,Products!$A$2:$A$9,0))</f>
        <v>Sensor Hub Pro</v>
      </c>
      <c r="G703" s="4" t="str">
        <f aca="false">INDEX(Products!$C$2:$C$9,MATCH(E703,Products!$A$2:$A$9,0))</f>
        <v>Hardware</v>
      </c>
      <c r="H703" s="5" t="n">
        <v>12</v>
      </c>
      <c r="I703" s="6" t="n">
        <f aca="false">INDEX(Products!$D$2:$D$9,MATCH(E703,Products!$A$2:$A$9,0))</f>
        <v>349</v>
      </c>
      <c r="J703" s="7" t="n">
        <v>0.05</v>
      </c>
      <c r="K703" s="8" t="n">
        <f aca="false">H703*I703*(1-J703)</f>
        <v>3978.6</v>
      </c>
      <c r="L703" s="6" t="n">
        <f aca="false">H703*INDEX(Products!$E$2:$E$9,MATCH(E703,Products!$A$2:$A$9,0))</f>
        <v>2412</v>
      </c>
      <c r="M703" s="8" t="n">
        <f aca="false">K703-L703</f>
        <v>1566.6</v>
      </c>
      <c r="N703" s="2" t="s">
        <v>28</v>
      </c>
      <c r="O703" s="2" t="s">
        <v>36</v>
      </c>
    </row>
    <row r="704" customFormat="false" ht="15" hidden="false" customHeight="false" outlineLevel="0" collapsed="false">
      <c r="A704" s="2" t="s">
        <v>758</v>
      </c>
      <c r="B704" s="3" t="n">
        <v>45959</v>
      </c>
      <c r="C704" s="2" t="s">
        <v>47</v>
      </c>
      <c r="D704" s="2" t="s">
        <v>55</v>
      </c>
      <c r="E704" s="2" t="s">
        <v>18</v>
      </c>
      <c r="F704" s="4" t="str">
        <f aca="false">INDEX(Products!$B$2:$B$9,MATCH(E704,Products!$A$2:$A$9,0))</f>
        <v>Sensor Hub Pro</v>
      </c>
      <c r="G704" s="4" t="str">
        <f aca="false">INDEX(Products!$C$2:$C$9,MATCH(E704,Products!$A$2:$A$9,0))</f>
        <v>Hardware</v>
      </c>
      <c r="H704" s="5" t="n">
        <v>20</v>
      </c>
      <c r="I704" s="6" t="n">
        <f aca="false">INDEX(Products!$D$2:$D$9,MATCH(E704,Products!$A$2:$A$9,0))</f>
        <v>349</v>
      </c>
      <c r="J704" s="7" t="n">
        <v>0</v>
      </c>
      <c r="K704" s="8" t="n">
        <f aca="false">H704*I704*(1-J704)</f>
        <v>6980</v>
      </c>
      <c r="L704" s="6" t="n">
        <f aca="false">H704*INDEX(Products!$E$2:$E$9,MATCH(E704,Products!$A$2:$A$9,0))</f>
        <v>4020</v>
      </c>
      <c r="M704" s="8" t="n">
        <f aca="false">K704-L704</f>
        <v>2960</v>
      </c>
      <c r="N704" s="2" t="s">
        <v>28</v>
      </c>
      <c r="O704" s="2" t="s">
        <v>50</v>
      </c>
    </row>
    <row r="705" customFormat="false" ht="15" hidden="false" customHeight="false" outlineLevel="0" collapsed="false">
      <c r="A705" s="2" t="s">
        <v>759</v>
      </c>
      <c r="B705" s="3" t="n">
        <v>45959</v>
      </c>
      <c r="C705" s="2" t="s">
        <v>30</v>
      </c>
      <c r="D705" s="2" t="s">
        <v>128</v>
      </c>
      <c r="E705" s="2" t="s">
        <v>32</v>
      </c>
      <c r="F705" s="4" t="str">
        <f aca="false">INDEX(Products!$B$2:$B$9,MATCH(E705,Products!$A$2:$A$9,0))</f>
        <v>Analytics Plus</v>
      </c>
      <c r="G705" s="4" t="str">
        <f aca="false">INDEX(Products!$C$2:$C$9,MATCH(E705,Products!$A$2:$A$9,0))</f>
        <v>Software</v>
      </c>
      <c r="H705" s="5" t="n">
        <v>1</v>
      </c>
      <c r="I705" s="6" t="n">
        <f aca="false">INDEX(Products!$D$2:$D$9,MATCH(E705,Products!$A$2:$A$9,0))</f>
        <v>290</v>
      </c>
      <c r="J705" s="7" t="n">
        <v>0.05</v>
      </c>
      <c r="K705" s="8" t="n">
        <f aca="false">H705*I705*(1-J705)</f>
        <v>275.5</v>
      </c>
      <c r="L705" s="6" t="n">
        <f aca="false">H705*INDEX(Products!$E$2:$E$9,MATCH(E705,Products!$A$2:$A$9,0))</f>
        <v>41</v>
      </c>
      <c r="M705" s="8" t="n">
        <f aca="false">K705-L705</f>
        <v>234.5</v>
      </c>
      <c r="N705" s="2" t="s">
        <v>38</v>
      </c>
      <c r="O705" s="2" t="s">
        <v>64</v>
      </c>
    </row>
    <row r="706" customFormat="false" ht="15" hidden="false" customHeight="false" outlineLevel="0" collapsed="false">
      <c r="A706" s="2" t="s">
        <v>760</v>
      </c>
      <c r="B706" s="3" t="n">
        <v>45959</v>
      </c>
      <c r="C706" s="2" t="s">
        <v>30</v>
      </c>
      <c r="D706" s="2" t="s">
        <v>31</v>
      </c>
      <c r="E706" s="2" t="s">
        <v>26</v>
      </c>
      <c r="F706" s="4" t="str">
        <f aca="false">INDEX(Products!$B$2:$B$9,MATCH(E706,Products!$A$2:$A$9,0))</f>
        <v>Analytics Basic</v>
      </c>
      <c r="G706" s="4" t="str">
        <f aca="false">INDEX(Products!$C$2:$C$9,MATCH(E706,Products!$A$2:$A$9,0))</f>
        <v>Software</v>
      </c>
      <c r="H706" s="5" t="n">
        <v>3</v>
      </c>
      <c r="I706" s="6" t="n">
        <f aca="false">INDEX(Products!$D$2:$D$9,MATCH(E706,Products!$A$2:$A$9,0))</f>
        <v>120</v>
      </c>
      <c r="J706" s="7" t="n">
        <v>0.1</v>
      </c>
      <c r="K706" s="8" t="n">
        <f aca="false">H706*I706*(1-J706)</f>
        <v>324</v>
      </c>
      <c r="L706" s="6" t="n">
        <f aca="false">H706*INDEX(Products!$E$2:$E$9,MATCH(E706,Products!$A$2:$A$9,0))</f>
        <v>54</v>
      </c>
      <c r="M706" s="8" t="n">
        <f aca="false">K706-L706</f>
        <v>270</v>
      </c>
      <c r="N706" s="2" t="s">
        <v>19</v>
      </c>
      <c r="O706" s="2" t="s">
        <v>33</v>
      </c>
    </row>
    <row r="707" customFormat="false" ht="15" hidden="false" customHeight="false" outlineLevel="0" collapsed="false">
      <c r="A707" s="2" t="s">
        <v>761</v>
      </c>
      <c r="B707" s="3" t="n">
        <v>45959</v>
      </c>
      <c r="C707" s="2" t="s">
        <v>41</v>
      </c>
      <c r="D707" s="2" t="s">
        <v>66</v>
      </c>
      <c r="E707" s="2" t="s">
        <v>61</v>
      </c>
      <c r="F707" s="4" t="str">
        <f aca="false">INDEX(Products!$B$2:$B$9,MATCH(E707,Products!$A$2:$A$9,0))</f>
        <v>Install Service</v>
      </c>
      <c r="G707" s="4" t="str">
        <f aca="false">INDEX(Products!$C$2:$C$9,MATCH(E707,Products!$A$2:$A$9,0))</f>
        <v>Services</v>
      </c>
      <c r="H707" s="5" t="n">
        <v>1</v>
      </c>
      <c r="I707" s="6" t="n">
        <f aca="false">INDEX(Products!$D$2:$D$9,MATCH(E707,Products!$A$2:$A$9,0))</f>
        <v>450</v>
      </c>
      <c r="J707" s="7" t="n">
        <v>0.05</v>
      </c>
      <c r="K707" s="8" t="n">
        <f aca="false">H707*I707*(1-J707)</f>
        <v>427.5</v>
      </c>
      <c r="L707" s="6" t="n">
        <f aca="false">H707*INDEX(Products!$E$2:$E$9,MATCH(E707,Products!$A$2:$A$9,0))</f>
        <v>310</v>
      </c>
      <c r="M707" s="8" t="n">
        <f aca="false">K707-L707</f>
        <v>117.5</v>
      </c>
      <c r="N707" s="2" t="s">
        <v>28</v>
      </c>
      <c r="O707" s="2" t="s">
        <v>52</v>
      </c>
    </row>
    <row r="708" customFormat="false" ht="15" hidden="false" customHeight="false" outlineLevel="0" collapsed="false">
      <c r="A708" s="2" t="s">
        <v>762</v>
      </c>
      <c r="B708" s="3" t="n">
        <v>45960</v>
      </c>
      <c r="C708" s="2" t="s">
        <v>16</v>
      </c>
      <c r="D708" s="2" t="s">
        <v>35</v>
      </c>
      <c r="E708" s="2" t="s">
        <v>32</v>
      </c>
      <c r="F708" s="4" t="str">
        <f aca="false">INDEX(Products!$B$2:$B$9,MATCH(E708,Products!$A$2:$A$9,0))</f>
        <v>Analytics Plus</v>
      </c>
      <c r="G708" s="4" t="str">
        <f aca="false">INDEX(Products!$C$2:$C$9,MATCH(E708,Products!$A$2:$A$9,0))</f>
        <v>Software</v>
      </c>
      <c r="H708" s="5" t="n">
        <v>1</v>
      </c>
      <c r="I708" s="6" t="n">
        <f aca="false">INDEX(Products!$D$2:$D$9,MATCH(E708,Products!$A$2:$A$9,0))</f>
        <v>290</v>
      </c>
      <c r="J708" s="7" t="n">
        <v>0.1</v>
      </c>
      <c r="K708" s="8" t="n">
        <f aca="false">H708*I708*(1-J708)</f>
        <v>261</v>
      </c>
      <c r="L708" s="6" t="n">
        <f aca="false">H708*INDEX(Products!$E$2:$E$9,MATCH(E708,Products!$A$2:$A$9,0))</f>
        <v>41</v>
      </c>
      <c r="M708" s="8" t="n">
        <f aca="false">K708-L708</f>
        <v>220</v>
      </c>
      <c r="N708" s="2" t="s">
        <v>19</v>
      </c>
      <c r="O708" s="2" t="s">
        <v>36</v>
      </c>
    </row>
    <row r="709" customFormat="false" ht="15" hidden="false" customHeight="false" outlineLevel="0" collapsed="false">
      <c r="A709" s="2" t="s">
        <v>763</v>
      </c>
      <c r="B709" s="3" t="n">
        <v>45960</v>
      </c>
      <c r="C709" s="2" t="s">
        <v>41</v>
      </c>
      <c r="D709" s="2" t="s">
        <v>42</v>
      </c>
      <c r="E709" s="2" t="s">
        <v>68</v>
      </c>
      <c r="F709" s="4" t="str">
        <f aca="false">INDEX(Products!$B$2:$B$9,MATCH(E709,Products!$A$2:$A$9,0))</f>
        <v>Premium Support</v>
      </c>
      <c r="G709" s="4" t="str">
        <f aca="false">INDEX(Products!$C$2:$C$9,MATCH(E709,Products!$A$2:$A$9,0))</f>
        <v>Services</v>
      </c>
      <c r="H709" s="5" t="n">
        <v>1</v>
      </c>
      <c r="I709" s="6" t="n">
        <f aca="false">INDEX(Products!$D$2:$D$9,MATCH(E709,Products!$A$2:$A$9,0))</f>
        <v>600</v>
      </c>
      <c r="J709" s="7" t="n">
        <v>0</v>
      </c>
      <c r="K709" s="8" t="n">
        <f aca="false">H709*I709*(1-J709)</f>
        <v>600</v>
      </c>
      <c r="L709" s="6" t="n">
        <f aca="false">H709*INDEX(Products!$E$2:$E$9,MATCH(E709,Products!$A$2:$A$9,0))</f>
        <v>395</v>
      </c>
      <c r="M709" s="8" t="n">
        <f aca="false">K709-L709</f>
        <v>205</v>
      </c>
      <c r="N709" s="2" t="s">
        <v>38</v>
      </c>
      <c r="O709" s="2" t="s">
        <v>43</v>
      </c>
    </row>
    <row r="710" customFormat="false" ht="15" hidden="false" customHeight="false" outlineLevel="0" collapsed="false">
      <c r="A710" s="2" t="s">
        <v>764</v>
      </c>
      <c r="B710" s="3" t="n">
        <v>45961</v>
      </c>
      <c r="C710" s="2" t="s">
        <v>47</v>
      </c>
      <c r="D710" s="2" t="s">
        <v>48</v>
      </c>
      <c r="E710" s="2" t="s">
        <v>57</v>
      </c>
      <c r="F710" s="4" t="str">
        <f aca="false">INDEX(Products!$B$2:$B$9,MATCH(E710,Products!$A$2:$A$9,0))</f>
        <v>Edge Gateway</v>
      </c>
      <c r="G710" s="4" t="str">
        <f aca="false">INDEX(Products!$C$2:$C$9,MATCH(E710,Products!$A$2:$A$9,0))</f>
        <v>Hardware</v>
      </c>
      <c r="H710" s="5" t="n">
        <v>2</v>
      </c>
      <c r="I710" s="6" t="n">
        <f aca="false">INDEX(Products!$D$2:$D$9,MATCH(E710,Products!$A$2:$A$9,0))</f>
        <v>899</v>
      </c>
      <c r="J710" s="7" t="n">
        <v>0.05</v>
      </c>
      <c r="K710" s="8" t="n">
        <f aca="false">H710*I710*(1-J710)</f>
        <v>1708.1</v>
      </c>
      <c r="L710" s="6" t="n">
        <f aca="false">H710*INDEX(Products!$E$2:$E$9,MATCH(E710,Products!$A$2:$A$9,0))</f>
        <v>1224</v>
      </c>
      <c r="M710" s="8" t="n">
        <f aca="false">K710-L710</f>
        <v>484.1</v>
      </c>
      <c r="N710" s="2" t="s">
        <v>28</v>
      </c>
      <c r="O710" s="2" t="s">
        <v>50</v>
      </c>
    </row>
    <row r="711" customFormat="false" ht="15" hidden="false" customHeight="false" outlineLevel="0" collapsed="false">
      <c r="A711" s="2" t="s">
        <v>765</v>
      </c>
      <c r="B711" s="3" t="n">
        <v>45961</v>
      </c>
      <c r="C711" s="2" t="s">
        <v>16</v>
      </c>
      <c r="D711" s="2" t="s">
        <v>25</v>
      </c>
      <c r="E711" s="2" t="s">
        <v>23</v>
      </c>
      <c r="F711" s="4" t="str">
        <f aca="false">INDEX(Products!$B$2:$B$9,MATCH(E711,Products!$A$2:$A$9,0))</f>
        <v>Sensor Hub S</v>
      </c>
      <c r="G711" s="4" t="str">
        <f aca="false">INDEX(Products!$C$2:$C$9,MATCH(E711,Products!$A$2:$A$9,0))</f>
        <v>Hardware</v>
      </c>
      <c r="H711" s="5" t="n">
        <v>3</v>
      </c>
      <c r="I711" s="6" t="n">
        <f aca="false">INDEX(Products!$D$2:$D$9,MATCH(E711,Products!$A$2:$A$9,0))</f>
        <v>189</v>
      </c>
      <c r="J711" s="7" t="n">
        <v>0</v>
      </c>
      <c r="K711" s="8" t="n">
        <f aca="false">H711*I711*(1-J711)</f>
        <v>567</v>
      </c>
      <c r="L711" s="6" t="n">
        <f aca="false">H711*INDEX(Products!$E$2:$E$9,MATCH(E711,Products!$A$2:$A$9,0))</f>
        <v>294</v>
      </c>
      <c r="M711" s="8" t="n">
        <f aca="false">K711-L711</f>
        <v>273</v>
      </c>
      <c r="N711" s="2" t="s">
        <v>38</v>
      </c>
      <c r="O711" s="2" t="s">
        <v>36</v>
      </c>
    </row>
    <row r="712" customFormat="false" ht="15" hidden="false" customHeight="false" outlineLevel="0" collapsed="false">
      <c r="A712" s="2" t="s">
        <v>766</v>
      </c>
      <c r="B712" s="3" t="n">
        <v>45961</v>
      </c>
      <c r="C712" s="2" t="s">
        <v>16</v>
      </c>
      <c r="D712" s="2" t="s">
        <v>22</v>
      </c>
      <c r="E712" s="2" t="s">
        <v>23</v>
      </c>
      <c r="F712" s="4" t="str">
        <f aca="false">INDEX(Products!$B$2:$B$9,MATCH(E712,Products!$A$2:$A$9,0))</f>
        <v>Sensor Hub S</v>
      </c>
      <c r="G712" s="4" t="str">
        <f aca="false">INDEX(Products!$C$2:$C$9,MATCH(E712,Products!$A$2:$A$9,0))</f>
        <v>Hardware</v>
      </c>
      <c r="H712" s="5" t="n">
        <v>10</v>
      </c>
      <c r="I712" s="6" t="n">
        <f aca="false">INDEX(Products!$D$2:$D$9,MATCH(E712,Products!$A$2:$A$9,0))</f>
        <v>189</v>
      </c>
      <c r="J712" s="7" t="n">
        <v>0.1</v>
      </c>
      <c r="K712" s="8" t="n">
        <f aca="false">H712*I712*(1-J712)</f>
        <v>1701</v>
      </c>
      <c r="L712" s="6" t="n">
        <f aca="false">H712*INDEX(Products!$E$2:$E$9,MATCH(E712,Products!$A$2:$A$9,0))</f>
        <v>980</v>
      </c>
      <c r="M712" s="8" t="n">
        <f aca="false">K712-L712</f>
        <v>721</v>
      </c>
      <c r="N712" s="2" t="s">
        <v>19</v>
      </c>
      <c r="O712" s="2" t="s">
        <v>20</v>
      </c>
    </row>
    <row r="713" customFormat="false" ht="15" hidden="false" customHeight="false" outlineLevel="0" collapsed="false">
      <c r="A713" s="2" t="s">
        <v>767</v>
      </c>
      <c r="B713" s="3" t="n">
        <v>45961</v>
      </c>
      <c r="C713" s="2" t="s">
        <v>41</v>
      </c>
      <c r="D713" s="2" t="s">
        <v>42</v>
      </c>
      <c r="E713" s="2" t="s">
        <v>49</v>
      </c>
      <c r="F713" s="4" t="str">
        <f aca="false">INDEX(Products!$B$2:$B$9,MATCH(E713,Products!$A$2:$A$9,0))</f>
        <v>Mounting Kit</v>
      </c>
      <c r="G713" s="4" t="str">
        <f aca="false">INDEX(Products!$C$2:$C$9,MATCH(E713,Products!$A$2:$A$9,0))</f>
        <v>Accessories</v>
      </c>
      <c r="H713" s="5" t="n">
        <v>2</v>
      </c>
      <c r="I713" s="6" t="n">
        <f aca="false">INDEX(Products!$D$2:$D$9,MATCH(E713,Products!$A$2:$A$9,0))</f>
        <v>39</v>
      </c>
      <c r="J713" s="7" t="n">
        <v>0.15</v>
      </c>
      <c r="K713" s="8" t="n">
        <f aca="false">H713*I713*(1-J713)</f>
        <v>66.3</v>
      </c>
      <c r="L713" s="6" t="n">
        <f aca="false">H713*INDEX(Products!$E$2:$E$9,MATCH(E713,Products!$A$2:$A$9,0))</f>
        <v>63</v>
      </c>
      <c r="M713" s="8" t="n">
        <f aca="false">K713-L713</f>
        <v>3.3</v>
      </c>
      <c r="N713" s="2" t="s">
        <v>28</v>
      </c>
      <c r="O713" s="2" t="s">
        <v>43</v>
      </c>
    </row>
    <row r="714" customFormat="false" ht="15" hidden="false" customHeight="false" outlineLevel="0" collapsed="false">
      <c r="A714" s="2" t="s">
        <v>768</v>
      </c>
      <c r="B714" s="3" t="n">
        <v>45963</v>
      </c>
      <c r="C714" s="2" t="s">
        <v>47</v>
      </c>
      <c r="D714" s="2" t="s">
        <v>71</v>
      </c>
      <c r="E714" s="2" t="s">
        <v>68</v>
      </c>
      <c r="F714" s="4" t="str">
        <f aca="false">INDEX(Products!$B$2:$B$9,MATCH(E714,Products!$A$2:$A$9,0))</f>
        <v>Premium Support</v>
      </c>
      <c r="G714" s="4" t="str">
        <f aca="false">INDEX(Products!$C$2:$C$9,MATCH(E714,Products!$A$2:$A$9,0))</f>
        <v>Services</v>
      </c>
      <c r="H714" s="5" t="n">
        <v>5</v>
      </c>
      <c r="I714" s="6" t="n">
        <f aca="false">INDEX(Products!$D$2:$D$9,MATCH(E714,Products!$A$2:$A$9,0))</f>
        <v>600</v>
      </c>
      <c r="J714" s="7" t="n">
        <v>0</v>
      </c>
      <c r="K714" s="8" t="n">
        <f aca="false">H714*I714*(1-J714)</f>
        <v>3000</v>
      </c>
      <c r="L714" s="6" t="n">
        <f aca="false">H714*INDEX(Products!$E$2:$E$9,MATCH(E714,Products!$A$2:$A$9,0))</f>
        <v>1975</v>
      </c>
      <c r="M714" s="8" t="n">
        <f aca="false">K714-L714</f>
        <v>1025</v>
      </c>
      <c r="N714" s="2" t="s">
        <v>28</v>
      </c>
      <c r="O714" s="2" t="s">
        <v>50</v>
      </c>
    </row>
    <row r="715" customFormat="false" ht="15" hidden="false" customHeight="false" outlineLevel="0" collapsed="false">
      <c r="A715" s="2" t="s">
        <v>769</v>
      </c>
      <c r="B715" s="3" t="n">
        <v>45964</v>
      </c>
      <c r="C715" s="2" t="s">
        <v>30</v>
      </c>
      <c r="D715" s="2" t="s">
        <v>31</v>
      </c>
      <c r="E715" s="2" t="s">
        <v>32</v>
      </c>
      <c r="F715" s="4" t="str">
        <f aca="false">INDEX(Products!$B$2:$B$9,MATCH(E715,Products!$A$2:$A$9,0))</f>
        <v>Analytics Plus</v>
      </c>
      <c r="G715" s="4" t="str">
        <f aca="false">INDEX(Products!$C$2:$C$9,MATCH(E715,Products!$A$2:$A$9,0))</f>
        <v>Software</v>
      </c>
      <c r="H715" s="5" t="n">
        <v>5</v>
      </c>
      <c r="I715" s="6" t="n">
        <f aca="false">INDEX(Products!$D$2:$D$9,MATCH(E715,Products!$A$2:$A$9,0))</f>
        <v>290</v>
      </c>
      <c r="J715" s="7" t="n">
        <v>0.15</v>
      </c>
      <c r="K715" s="8" t="n">
        <f aca="false">H715*I715*(1-J715)</f>
        <v>1232.5</v>
      </c>
      <c r="L715" s="6" t="n">
        <f aca="false">H715*INDEX(Products!$E$2:$E$9,MATCH(E715,Products!$A$2:$A$9,0))</f>
        <v>205</v>
      </c>
      <c r="M715" s="8" t="n">
        <f aca="false">K715-L715</f>
        <v>1027.5</v>
      </c>
      <c r="N715" s="2" t="s">
        <v>28</v>
      </c>
      <c r="O715" s="2" t="s">
        <v>64</v>
      </c>
    </row>
    <row r="716" customFormat="false" ht="15" hidden="false" customHeight="false" outlineLevel="0" collapsed="false">
      <c r="A716" s="2" t="s">
        <v>770</v>
      </c>
      <c r="B716" s="3" t="n">
        <v>45964</v>
      </c>
      <c r="C716" s="2" t="s">
        <v>16</v>
      </c>
      <c r="D716" s="2" t="s">
        <v>22</v>
      </c>
      <c r="E716" s="2" t="s">
        <v>23</v>
      </c>
      <c r="F716" s="4" t="str">
        <f aca="false">INDEX(Products!$B$2:$B$9,MATCH(E716,Products!$A$2:$A$9,0))</f>
        <v>Sensor Hub S</v>
      </c>
      <c r="G716" s="4" t="str">
        <f aca="false">INDEX(Products!$C$2:$C$9,MATCH(E716,Products!$A$2:$A$9,0))</f>
        <v>Hardware</v>
      </c>
      <c r="H716" s="5" t="n">
        <v>12</v>
      </c>
      <c r="I716" s="6" t="n">
        <f aca="false">INDEX(Products!$D$2:$D$9,MATCH(E716,Products!$A$2:$A$9,0))</f>
        <v>189</v>
      </c>
      <c r="J716" s="7" t="n">
        <v>0.15</v>
      </c>
      <c r="K716" s="8" t="n">
        <f aca="false">H716*I716*(1-J716)</f>
        <v>1927.8</v>
      </c>
      <c r="L716" s="6" t="n">
        <f aca="false">H716*INDEX(Products!$E$2:$E$9,MATCH(E716,Products!$A$2:$A$9,0))</f>
        <v>1176</v>
      </c>
      <c r="M716" s="8" t="n">
        <f aca="false">K716-L716</f>
        <v>751.8</v>
      </c>
      <c r="N716" s="2" t="s">
        <v>19</v>
      </c>
      <c r="O716" s="2" t="s">
        <v>36</v>
      </c>
    </row>
    <row r="717" customFormat="false" ht="15" hidden="false" customHeight="false" outlineLevel="0" collapsed="false">
      <c r="A717" s="2" t="s">
        <v>771</v>
      </c>
      <c r="B717" s="3" t="n">
        <v>45964</v>
      </c>
      <c r="C717" s="2" t="s">
        <v>16</v>
      </c>
      <c r="D717" s="2" t="s">
        <v>22</v>
      </c>
      <c r="E717" s="2" t="s">
        <v>23</v>
      </c>
      <c r="F717" s="4" t="str">
        <f aca="false">INDEX(Products!$B$2:$B$9,MATCH(E717,Products!$A$2:$A$9,0))</f>
        <v>Sensor Hub S</v>
      </c>
      <c r="G717" s="4" t="str">
        <f aca="false">INDEX(Products!$C$2:$C$9,MATCH(E717,Products!$A$2:$A$9,0))</f>
        <v>Hardware</v>
      </c>
      <c r="H717" s="5" t="n">
        <v>1</v>
      </c>
      <c r="I717" s="6" t="n">
        <f aca="false">INDEX(Products!$D$2:$D$9,MATCH(E717,Products!$A$2:$A$9,0))</f>
        <v>189</v>
      </c>
      <c r="J717" s="7" t="n">
        <v>0.15</v>
      </c>
      <c r="K717" s="8" t="n">
        <f aca="false">H717*I717*(1-J717)</f>
        <v>160.65</v>
      </c>
      <c r="L717" s="6" t="n">
        <f aca="false">H717*INDEX(Products!$E$2:$E$9,MATCH(E717,Products!$A$2:$A$9,0))</f>
        <v>98</v>
      </c>
      <c r="M717" s="8" t="n">
        <f aca="false">K717-L717</f>
        <v>62.65</v>
      </c>
      <c r="N717" s="2" t="s">
        <v>19</v>
      </c>
      <c r="O717" s="2" t="s">
        <v>20</v>
      </c>
    </row>
    <row r="718" customFormat="false" ht="15" hidden="false" customHeight="false" outlineLevel="0" collapsed="false">
      <c r="A718" s="2" t="s">
        <v>772</v>
      </c>
      <c r="B718" s="3" t="n">
        <v>45964</v>
      </c>
      <c r="C718" s="2" t="s">
        <v>41</v>
      </c>
      <c r="D718" s="2" t="s">
        <v>42</v>
      </c>
      <c r="E718" s="2" t="s">
        <v>57</v>
      </c>
      <c r="F718" s="4" t="str">
        <f aca="false">INDEX(Products!$B$2:$B$9,MATCH(E718,Products!$A$2:$A$9,0))</f>
        <v>Edge Gateway</v>
      </c>
      <c r="G718" s="4" t="str">
        <f aca="false">INDEX(Products!$C$2:$C$9,MATCH(E718,Products!$A$2:$A$9,0))</f>
        <v>Hardware</v>
      </c>
      <c r="H718" s="5" t="n">
        <v>5</v>
      </c>
      <c r="I718" s="6" t="n">
        <f aca="false">INDEX(Products!$D$2:$D$9,MATCH(E718,Products!$A$2:$A$9,0))</f>
        <v>899</v>
      </c>
      <c r="J718" s="7" t="n">
        <v>0</v>
      </c>
      <c r="K718" s="8" t="n">
        <f aca="false">H718*I718*(1-J718)</f>
        <v>4495</v>
      </c>
      <c r="L718" s="6" t="n">
        <f aca="false">H718*INDEX(Products!$E$2:$E$9,MATCH(E718,Products!$A$2:$A$9,0))</f>
        <v>3060</v>
      </c>
      <c r="M718" s="8" t="n">
        <f aca="false">K718-L718</f>
        <v>1435</v>
      </c>
      <c r="N718" s="2" t="s">
        <v>28</v>
      </c>
      <c r="O718" s="2" t="s">
        <v>43</v>
      </c>
    </row>
    <row r="719" customFormat="false" ht="15" hidden="false" customHeight="false" outlineLevel="0" collapsed="false">
      <c r="A719" s="2" t="s">
        <v>773</v>
      </c>
      <c r="B719" s="3" t="n">
        <v>45965</v>
      </c>
      <c r="C719" s="2" t="s">
        <v>16</v>
      </c>
      <c r="D719" s="2" t="s">
        <v>22</v>
      </c>
      <c r="E719" s="2" t="s">
        <v>57</v>
      </c>
      <c r="F719" s="4" t="str">
        <f aca="false">INDEX(Products!$B$2:$B$9,MATCH(E719,Products!$A$2:$A$9,0))</f>
        <v>Edge Gateway</v>
      </c>
      <c r="G719" s="4" t="str">
        <f aca="false">INDEX(Products!$C$2:$C$9,MATCH(E719,Products!$A$2:$A$9,0))</f>
        <v>Hardware</v>
      </c>
      <c r="H719" s="5" t="n">
        <v>1</v>
      </c>
      <c r="I719" s="6" t="n">
        <f aca="false">INDEX(Products!$D$2:$D$9,MATCH(E719,Products!$A$2:$A$9,0))</f>
        <v>899</v>
      </c>
      <c r="J719" s="7" t="n">
        <v>0.05</v>
      </c>
      <c r="K719" s="8" t="n">
        <f aca="false">H719*I719*(1-J719)</f>
        <v>854.05</v>
      </c>
      <c r="L719" s="6" t="n">
        <f aca="false">H719*INDEX(Products!$E$2:$E$9,MATCH(E719,Products!$A$2:$A$9,0))</f>
        <v>612</v>
      </c>
      <c r="M719" s="8" t="n">
        <f aca="false">K719-L719</f>
        <v>242.05</v>
      </c>
      <c r="N719" s="2" t="s">
        <v>38</v>
      </c>
      <c r="O719" s="2" t="s">
        <v>36</v>
      </c>
    </row>
    <row r="720" customFormat="false" ht="15" hidden="false" customHeight="false" outlineLevel="0" collapsed="false">
      <c r="A720" s="2" t="s">
        <v>774</v>
      </c>
      <c r="B720" s="3" t="n">
        <v>45965</v>
      </c>
      <c r="C720" s="2" t="s">
        <v>41</v>
      </c>
      <c r="D720" s="2" t="s">
        <v>66</v>
      </c>
      <c r="E720" s="2" t="s">
        <v>23</v>
      </c>
      <c r="F720" s="4" t="str">
        <f aca="false">INDEX(Products!$B$2:$B$9,MATCH(E720,Products!$A$2:$A$9,0))</f>
        <v>Sensor Hub S</v>
      </c>
      <c r="G720" s="4" t="str">
        <f aca="false">INDEX(Products!$C$2:$C$9,MATCH(E720,Products!$A$2:$A$9,0))</f>
        <v>Hardware</v>
      </c>
      <c r="H720" s="5" t="n">
        <v>8</v>
      </c>
      <c r="I720" s="6" t="n">
        <f aca="false">INDEX(Products!$D$2:$D$9,MATCH(E720,Products!$A$2:$A$9,0))</f>
        <v>189</v>
      </c>
      <c r="J720" s="7" t="n">
        <v>0.05</v>
      </c>
      <c r="K720" s="8" t="n">
        <f aca="false">H720*I720*(1-J720)</f>
        <v>1436.4</v>
      </c>
      <c r="L720" s="6" t="n">
        <f aca="false">H720*INDEX(Products!$E$2:$E$9,MATCH(E720,Products!$A$2:$A$9,0))</f>
        <v>784</v>
      </c>
      <c r="M720" s="8" t="n">
        <f aca="false">K720-L720</f>
        <v>652.4</v>
      </c>
      <c r="N720" s="2" t="s">
        <v>38</v>
      </c>
      <c r="O720" s="2" t="s">
        <v>52</v>
      </c>
    </row>
    <row r="721" customFormat="false" ht="15" hidden="false" customHeight="false" outlineLevel="0" collapsed="false">
      <c r="A721" s="2" t="s">
        <v>775</v>
      </c>
      <c r="B721" s="3" t="n">
        <v>45965</v>
      </c>
      <c r="C721" s="2" t="s">
        <v>30</v>
      </c>
      <c r="D721" s="2" t="s">
        <v>77</v>
      </c>
      <c r="E721" s="2" t="s">
        <v>26</v>
      </c>
      <c r="F721" s="4" t="str">
        <f aca="false">INDEX(Products!$B$2:$B$9,MATCH(E721,Products!$A$2:$A$9,0))</f>
        <v>Analytics Basic</v>
      </c>
      <c r="G721" s="4" t="str">
        <f aca="false">INDEX(Products!$C$2:$C$9,MATCH(E721,Products!$A$2:$A$9,0))</f>
        <v>Software</v>
      </c>
      <c r="H721" s="5" t="n">
        <v>1</v>
      </c>
      <c r="I721" s="6" t="n">
        <f aca="false">INDEX(Products!$D$2:$D$9,MATCH(E721,Products!$A$2:$A$9,0))</f>
        <v>120</v>
      </c>
      <c r="J721" s="7" t="n">
        <v>0.25</v>
      </c>
      <c r="K721" s="8" t="n">
        <f aca="false">H721*I721*(1-J721)</f>
        <v>90</v>
      </c>
      <c r="L721" s="6" t="n">
        <f aca="false">H721*INDEX(Products!$E$2:$E$9,MATCH(E721,Products!$A$2:$A$9,0))</f>
        <v>18</v>
      </c>
      <c r="M721" s="8" t="n">
        <f aca="false">K721-L721</f>
        <v>72</v>
      </c>
      <c r="N721" s="2" t="s">
        <v>19</v>
      </c>
      <c r="O721" s="2" t="s">
        <v>33</v>
      </c>
    </row>
    <row r="722" customFormat="false" ht="15" hidden="false" customHeight="false" outlineLevel="0" collapsed="false">
      <c r="A722" s="2" t="s">
        <v>776</v>
      </c>
      <c r="B722" s="3" t="n">
        <v>45965</v>
      </c>
      <c r="C722" s="2" t="s">
        <v>47</v>
      </c>
      <c r="D722" s="2" t="s">
        <v>55</v>
      </c>
      <c r="E722" s="2" t="s">
        <v>49</v>
      </c>
      <c r="F722" s="4" t="str">
        <f aca="false">INDEX(Products!$B$2:$B$9,MATCH(E722,Products!$A$2:$A$9,0))</f>
        <v>Mounting Kit</v>
      </c>
      <c r="G722" s="4" t="str">
        <f aca="false">INDEX(Products!$C$2:$C$9,MATCH(E722,Products!$A$2:$A$9,0))</f>
        <v>Accessories</v>
      </c>
      <c r="H722" s="5" t="n">
        <v>12</v>
      </c>
      <c r="I722" s="6" t="n">
        <f aca="false">INDEX(Products!$D$2:$D$9,MATCH(E722,Products!$A$2:$A$9,0))</f>
        <v>39</v>
      </c>
      <c r="J722" s="7" t="n">
        <v>0.15</v>
      </c>
      <c r="K722" s="8" t="n">
        <f aca="false">H722*I722*(1-J722)</f>
        <v>397.8</v>
      </c>
      <c r="L722" s="6" t="n">
        <f aca="false">H722*INDEX(Products!$E$2:$E$9,MATCH(E722,Products!$A$2:$A$9,0))</f>
        <v>378</v>
      </c>
      <c r="M722" s="8" t="n">
        <f aca="false">K722-L722</f>
        <v>19.8</v>
      </c>
      <c r="N722" s="2" t="s">
        <v>19</v>
      </c>
      <c r="O722" s="2" t="s">
        <v>72</v>
      </c>
    </row>
    <row r="723" customFormat="false" ht="15" hidden="false" customHeight="false" outlineLevel="0" collapsed="false">
      <c r="A723" s="2" t="s">
        <v>777</v>
      </c>
      <c r="B723" s="3" t="n">
        <v>45965</v>
      </c>
      <c r="C723" s="2" t="s">
        <v>47</v>
      </c>
      <c r="D723" s="2" t="s">
        <v>71</v>
      </c>
      <c r="E723" s="2" t="s">
        <v>68</v>
      </c>
      <c r="F723" s="4" t="str">
        <f aca="false">INDEX(Products!$B$2:$B$9,MATCH(E723,Products!$A$2:$A$9,0))</f>
        <v>Premium Support</v>
      </c>
      <c r="G723" s="4" t="str">
        <f aca="false">INDEX(Products!$C$2:$C$9,MATCH(E723,Products!$A$2:$A$9,0))</f>
        <v>Services</v>
      </c>
      <c r="H723" s="5" t="n">
        <v>1</v>
      </c>
      <c r="I723" s="6" t="n">
        <f aca="false">INDEX(Products!$D$2:$D$9,MATCH(E723,Products!$A$2:$A$9,0))</f>
        <v>600</v>
      </c>
      <c r="J723" s="7" t="n">
        <v>0</v>
      </c>
      <c r="K723" s="8" t="n">
        <f aca="false">H723*I723*(1-J723)</f>
        <v>600</v>
      </c>
      <c r="L723" s="6" t="n">
        <f aca="false">H723*INDEX(Products!$E$2:$E$9,MATCH(E723,Products!$A$2:$A$9,0))</f>
        <v>395</v>
      </c>
      <c r="M723" s="8" t="n">
        <f aca="false">K723-L723</f>
        <v>205</v>
      </c>
      <c r="N723" s="2" t="s">
        <v>38</v>
      </c>
      <c r="O723" s="2" t="s">
        <v>72</v>
      </c>
    </row>
    <row r="724" customFormat="false" ht="15" hidden="false" customHeight="false" outlineLevel="0" collapsed="false">
      <c r="A724" s="2" t="s">
        <v>778</v>
      </c>
      <c r="B724" s="3" t="n">
        <v>45965</v>
      </c>
      <c r="C724" s="2" t="s">
        <v>47</v>
      </c>
      <c r="D724" s="2" t="s">
        <v>157</v>
      </c>
      <c r="E724" s="2" t="s">
        <v>26</v>
      </c>
      <c r="F724" s="4" t="str">
        <f aca="false">INDEX(Products!$B$2:$B$9,MATCH(E724,Products!$A$2:$A$9,0))</f>
        <v>Analytics Basic</v>
      </c>
      <c r="G724" s="4" t="str">
        <f aca="false">INDEX(Products!$C$2:$C$9,MATCH(E724,Products!$A$2:$A$9,0))</f>
        <v>Software</v>
      </c>
      <c r="H724" s="5" t="n">
        <v>5</v>
      </c>
      <c r="I724" s="6" t="n">
        <f aca="false">INDEX(Products!$D$2:$D$9,MATCH(E724,Products!$A$2:$A$9,0))</f>
        <v>120</v>
      </c>
      <c r="J724" s="7" t="n">
        <v>0</v>
      </c>
      <c r="K724" s="8" t="n">
        <f aca="false">H724*I724*(1-J724)</f>
        <v>600</v>
      </c>
      <c r="L724" s="6" t="n">
        <f aca="false">H724*INDEX(Products!$E$2:$E$9,MATCH(E724,Products!$A$2:$A$9,0))</f>
        <v>90</v>
      </c>
      <c r="M724" s="8" t="n">
        <f aca="false">K724-L724</f>
        <v>510</v>
      </c>
      <c r="N724" s="2" t="s">
        <v>38</v>
      </c>
      <c r="O724" s="2" t="s">
        <v>50</v>
      </c>
    </row>
    <row r="725" customFormat="false" ht="15" hidden="false" customHeight="false" outlineLevel="0" collapsed="false">
      <c r="A725" s="2" t="s">
        <v>779</v>
      </c>
      <c r="B725" s="3" t="n">
        <v>45966</v>
      </c>
      <c r="C725" s="2" t="s">
        <v>30</v>
      </c>
      <c r="D725" s="2" t="s">
        <v>128</v>
      </c>
      <c r="E725" s="2" t="s">
        <v>26</v>
      </c>
      <c r="F725" s="4" t="str">
        <f aca="false">INDEX(Products!$B$2:$B$9,MATCH(E725,Products!$A$2:$A$9,0))</f>
        <v>Analytics Basic</v>
      </c>
      <c r="G725" s="4" t="str">
        <f aca="false">INDEX(Products!$C$2:$C$9,MATCH(E725,Products!$A$2:$A$9,0))</f>
        <v>Software</v>
      </c>
      <c r="H725" s="5" t="n">
        <v>2</v>
      </c>
      <c r="I725" s="6" t="n">
        <f aca="false">INDEX(Products!$D$2:$D$9,MATCH(E725,Products!$A$2:$A$9,0))</f>
        <v>120</v>
      </c>
      <c r="J725" s="7" t="n">
        <v>0</v>
      </c>
      <c r="K725" s="8" t="n">
        <f aca="false">H725*I725*(1-J725)</f>
        <v>240</v>
      </c>
      <c r="L725" s="6" t="n">
        <f aca="false">H725*INDEX(Products!$E$2:$E$9,MATCH(E725,Products!$A$2:$A$9,0))</f>
        <v>36</v>
      </c>
      <c r="M725" s="8" t="n">
        <f aca="false">K725-L725</f>
        <v>204</v>
      </c>
      <c r="N725" s="2" t="s">
        <v>28</v>
      </c>
      <c r="O725" s="2" t="s">
        <v>64</v>
      </c>
    </row>
    <row r="726" customFormat="false" ht="15" hidden="false" customHeight="false" outlineLevel="0" collapsed="false">
      <c r="A726" s="2" t="s">
        <v>780</v>
      </c>
      <c r="B726" s="3" t="n">
        <v>45966</v>
      </c>
      <c r="C726" s="2" t="s">
        <v>47</v>
      </c>
      <c r="D726" s="2" t="s">
        <v>48</v>
      </c>
      <c r="E726" s="2" t="s">
        <v>32</v>
      </c>
      <c r="F726" s="4" t="str">
        <f aca="false">INDEX(Products!$B$2:$B$9,MATCH(E726,Products!$A$2:$A$9,0))</f>
        <v>Analytics Plus</v>
      </c>
      <c r="G726" s="4" t="str">
        <f aca="false">INDEX(Products!$C$2:$C$9,MATCH(E726,Products!$A$2:$A$9,0))</f>
        <v>Software</v>
      </c>
      <c r="H726" s="5" t="n">
        <v>1</v>
      </c>
      <c r="I726" s="6" t="n">
        <f aca="false">INDEX(Products!$D$2:$D$9,MATCH(E726,Products!$A$2:$A$9,0))</f>
        <v>290</v>
      </c>
      <c r="J726" s="7" t="n">
        <v>0.1</v>
      </c>
      <c r="K726" s="8" t="n">
        <f aca="false">H726*I726*(1-J726)</f>
        <v>261</v>
      </c>
      <c r="L726" s="6" t="n">
        <f aca="false">H726*INDEX(Products!$E$2:$E$9,MATCH(E726,Products!$A$2:$A$9,0))</f>
        <v>41</v>
      </c>
      <c r="M726" s="8" t="n">
        <f aca="false">K726-L726</f>
        <v>220</v>
      </c>
      <c r="N726" s="2" t="s">
        <v>19</v>
      </c>
      <c r="O726" s="2" t="s">
        <v>72</v>
      </c>
    </row>
    <row r="727" customFormat="false" ht="15" hidden="false" customHeight="false" outlineLevel="0" collapsed="false">
      <c r="A727" s="2" t="s">
        <v>781</v>
      </c>
      <c r="B727" s="3" t="n">
        <v>45966</v>
      </c>
      <c r="C727" s="2" t="s">
        <v>47</v>
      </c>
      <c r="D727" s="2" t="s">
        <v>48</v>
      </c>
      <c r="E727" s="2" t="s">
        <v>18</v>
      </c>
      <c r="F727" s="4" t="str">
        <f aca="false">INDEX(Products!$B$2:$B$9,MATCH(E727,Products!$A$2:$A$9,0))</f>
        <v>Sensor Hub Pro</v>
      </c>
      <c r="G727" s="4" t="str">
        <f aca="false">INDEX(Products!$C$2:$C$9,MATCH(E727,Products!$A$2:$A$9,0))</f>
        <v>Hardware</v>
      </c>
      <c r="H727" s="5" t="n">
        <v>1</v>
      </c>
      <c r="I727" s="6" t="n">
        <f aca="false">INDEX(Products!$D$2:$D$9,MATCH(E727,Products!$A$2:$A$9,0))</f>
        <v>349</v>
      </c>
      <c r="J727" s="7" t="n">
        <v>0.05</v>
      </c>
      <c r="K727" s="8" t="n">
        <f aca="false">H727*I727*(1-J727)</f>
        <v>331.55</v>
      </c>
      <c r="L727" s="6" t="n">
        <f aca="false">H727*INDEX(Products!$E$2:$E$9,MATCH(E727,Products!$A$2:$A$9,0))</f>
        <v>201</v>
      </c>
      <c r="M727" s="8" t="n">
        <f aca="false">K727-L727</f>
        <v>130.55</v>
      </c>
      <c r="N727" s="2" t="s">
        <v>28</v>
      </c>
      <c r="O727" s="2" t="s">
        <v>50</v>
      </c>
    </row>
    <row r="728" customFormat="false" ht="15" hidden="false" customHeight="false" outlineLevel="0" collapsed="false">
      <c r="A728" s="2" t="s">
        <v>782</v>
      </c>
      <c r="B728" s="3" t="n">
        <v>45966</v>
      </c>
      <c r="C728" s="2" t="s">
        <v>16</v>
      </c>
      <c r="D728" s="2" t="s">
        <v>22</v>
      </c>
      <c r="E728" s="2" t="s">
        <v>18</v>
      </c>
      <c r="F728" s="4" t="str">
        <f aca="false">INDEX(Products!$B$2:$B$9,MATCH(E728,Products!$A$2:$A$9,0))</f>
        <v>Sensor Hub Pro</v>
      </c>
      <c r="G728" s="4" t="str">
        <f aca="false">INDEX(Products!$C$2:$C$9,MATCH(E728,Products!$A$2:$A$9,0))</f>
        <v>Hardware</v>
      </c>
      <c r="H728" s="5" t="n">
        <v>20</v>
      </c>
      <c r="I728" s="6" t="n">
        <f aca="false">INDEX(Products!$D$2:$D$9,MATCH(E728,Products!$A$2:$A$9,0))</f>
        <v>349</v>
      </c>
      <c r="J728" s="7" t="n">
        <v>0.15</v>
      </c>
      <c r="K728" s="8" t="n">
        <f aca="false">H728*I728*(1-J728)</f>
        <v>5933</v>
      </c>
      <c r="L728" s="6" t="n">
        <f aca="false">H728*INDEX(Products!$E$2:$E$9,MATCH(E728,Products!$A$2:$A$9,0))</f>
        <v>4020</v>
      </c>
      <c r="M728" s="8" t="n">
        <f aca="false">K728-L728</f>
        <v>1913</v>
      </c>
      <c r="N728" s="2" t="s">
        <v>38</v>
      </c>
      <c r="O728" s="2" t="s">
        <v>36</v>
      </c>
    </row>
    <row r="729" customFormat="false" ht="15" hidden="false" customHeight="false" outlineLevel="0" collapsed="false">
      <c r="A729" s="2" t="s">
        <v>783</v>
      </c>
      <c r="B729" s="3" t="n">
        <v>45967</v>
      </c>
      <c r="C729" s="2" t="s">
        <v>16</v>
      </c>
      <c r="D729" s="2" t="s">
        <v>25</v>
      </c>
      <c r="E729" s="2" t="s">
        <v>32</v>
      </c>
      <c r="F729" s="4" t="str">
        <f aca="false">INDEX(Products!$B$2:$B$9,MATCH(E729,Products!$A$2:$A$9,0))</f>
        <v>Analytics Plus</v>
      </c>
      <c r="G729" s="4" t="str">
        <f aca="false">INDEX(Products!$C$2:$C$9,MATCH(E729,Products!$A$2:$A$9,0))</f>
        <v>Software</v>
      </c>
      <c r="H729" s="5" t="n">
        <v>5</v>
      </c>
      <c r="I729" s="6" t="n">
        <f aca="false">INDEX(Products!$D$2:$D$9,MATCH(E729,Products!$A$2:$A$9,0))</f>
        <v>290</v>
      </c>
      <c r="J729" s="7" t="n">
        <v>0.05</v>
      </c>
      <c r="K729" s="8" t="n">
        <f aca="false">H729*I729*(1-J729)</f>
        <v>1377.5</v>
      </c>
      <c r="L729" s="6" t="n">
        <f aca="false">H729*INDEX(Products!$E$2:$E$9,MATCH(E729,Products!$A$2:$A$9,0))</f>
        <v>205</v>
      </c>
      <c r="M729" s="8" t="n">
        <f aca="false">K729-L729</f>
        <v>1172.5</v>
      </c>
      <c r="N729" s="2" t="s">
        <v>28</v>
      </c>
      <c r="O729" s="2" t="s">
        <v>36</v>
      </c>
    </row>
    <row r="730" customFormat="false" ht="15" hidden="false" customHeight="false" outlineLevel="0" collapsed="false">
      <c r="A730" s="2" t="s">
        <v>784</v>
      </c>
      <c r="B730" s="3" t="n">
        <v>45967</v>
      </c>
      <c r="C730" s="2" t="s">
        <v>47</v>
      </c>
      <c r="D730" s="2" t="s">
        <v>48</v>
      </c>
      <c r="E730" s="2" t="s">
        <v>57</v>
      </c>
      <c r="F730" s="4" t="str">
        <f aca="false">INDEX(Products!$B$2:$B$9,MATCH(E730,Products!$A$2:$A$9,0))</f>
        <v>Edge Gateway</v>
      </c>
      <c r="G730" s="4" t="str">
        <f aca="false">INDEX(Products!$C$2:$C$9,MATCH(E730,Products!$A$2:$A$9,0))</f>
        <v>Hardware</v>
      </c>
      <c r="H730" s="5" t="n">
        <v>2</v>
      </c>
      <c r="I730" s="6" t="n">
        <f aca="false">INDEX(Products!$D$2:$D$9,MATCH(E730,Products!$A$2:$A$9,0))</f>
        <v>899</v>
      </c>
      <c r="J730" s="7" t="n">
        <v>0.05</v>
      </c>
      <c r="K730" s="8" t="n">
        <f aca="false">H730*I730*(1-J730)</f>
        <v>1708.1</v>
      </c>
      <c r="L730" s="6" t="n">
        <f aca="false">H730*INDEX(Products!$E$2:$E$9,MATCH(E730,Products!$A$2:$A$9,0))</f>
        <v>1224</v>
      </c>
      <c r="M730" s="8" t="n">
        <f aca="false">K730-L730</f>
        <v>484.1</v>
      </c>
      <c r="N730" s="2" t="s">
        <v>38</v>
      </c>
      <c r="O730" s="2" t="s">
        <v>72</v>
      </c>
    </row>
    <row r="731" customFormat="false" ht="15" hidden="false" customHeight="false" outlineLevel="0" collapsed="false">
      <c r="A731" s="2" t="s">
        <v>785</v>
      </c>
      <c r="B731" s="3" t="n">
        <v>45967</v>
      </c>
      <c r="C731" s="2" t="s">
        <v>30</v>
      </c>
      <c r="D731" s="2" t="s">
        <v>128</v>
      </c>
      <c r="E731" s="2" t="s">
        <v>23</v>
      </c>
      <c r="F731" s="4" t="str">
        <f aca="false">INDEX(Products!$B$2:$B$9,MATCH(E731,Products!$A$2:$A$9,0))</f>
        <v>Sensor Hub S</v>
      </c>
      <c r="G731" s="4" t="str">
        <f aca="false">INDEX(Products!$C$2:$C$9,MATCH(E731,Products!$A$2:$A$9,0))</f>
        <v>Hardware</v>
      </c>
      <c r="H731" s="5" t="n">
        <v>1</v>
      </c>
      <c r="I731" s="6" t="n">
        <f aca="false">INDEX(Products!$D$2:$D$9,MATCH(E731,Products!$A$2:$A$9,0))</f>
        <v>189</v>
      </c>
      <c r="J731" s="7" t="n">
        <v>0</v>
      </c>
      <c r="K731" s="8" t="n">
        <f aca="false">H731*I731*(1-J731)</f>
        <v>189</v>
      </c>
      <c r="L731" s="6" t="n">
        <f aca="false">H731*INDEX(Products!$E$2:$E$9,MATCH(E731,Products!$A$2:$A$9,0))</f>
        <v>98</v>
      </c>
      <c r="M731" s="8" t="n">
        <f aca="false">K731-L731</f>
        <v>91</v>
      </c>
      <c r="N731" s="2" t="s">
        <v>28</v>
      </c>
      <c r="O731" s="2" t="s">
        <v>33</v>
      </c>
    </row>
    <row r="732" customFormat="false" ht="15" hidden="false" customHeight="false" outlineLevel="0" collapsed="false">
      <c r="A732" s="2" t="s">
        <v>786</v>
      </c>
      <c r="B732" s="3" t="n">
        <v>45967</v>
      </c>
      <c r="C732" s="2" t="s">
        <v>16</v>
      </c>
      <c r="D732" s="2" t="s">
        <v>35</v>
      </c>
      <c r="E732" s="2" t="s">
        <v>23</v>
      </c>
      <c r="F732" s="4" t="str">
        <f aca="false">INDEX(Products!$B$2:$B$9,MATCH(E732,Products!$A$2:$A$9,0))</f>
        <v>Sensor Hub S</v>
      </c>
      <c r="G732" s="4" t="str">
        <f aca="false">INDEX(Products!$C$2:$C$9,MATCH(E732,Products!$A$2:$A$9,0))</f>
        <v>Hardware</v>
      </c>
      <c r="H732" s="5" t="n">
        <v>2</v>
      </c>
      <c r="I732" s="6" t="n">
        <f aca="false">INDEX(Products!$D$2:$D$9,MATCH(E732,Products!$A$2:$A$9,0))</f>
        <v>189</v>
      </c>
      <c r="J732" s="7" t="n">
        <v>0</v>
      </c>
      <c r="K732" s="8" t="n">
        <f aca="false">H732*I732*(1-J732)</f>
        <v>378</v>
      </c>
      <c r="L732" s="6" t="n">
        <f aca="false">H732*INDEX(Products!$E$2:$E$9,MATCH(E732,Products!$A$2:$A$9,0))</f>
        <v>196</v>
      </c>
      <c r="M732" s="8" t="n">
        <f aca="false">K732-L732</f>
        <v>182</v>
      </c>
      <c r="N732" s="2" t="s">
        <v>38</v>
      </c>
      <c r="O732" s="2" t="s">
        <v>36</v>
      </c>
    </row>
    <row r="733" customFormat="false" ht="15" hidden="false" customHeight="false" outlineLevel="0" collapsed="false">
      <c r="A733" s="2" t="s">
        <v>787</v>
      </c>
      <c r="B733" s="3" t="n">
        <v>45967</v>
      </c>
      <c r="C733" s="2" t="s">
        <v>47</v>
      </c>
      <c r="D733" s="2" t="s">
        <v>71</v>
      </c>
      <c r="E733" s="2" t="s">
        <v>68</v>
      </c>
      <c r="F733" s="4" t="str">
        <f aca="false">INDEX(Products!$B$2:$B$9,MATCH(E733,Products!$A$2:$A$9,0))</f>
        <v>Premium Support</v>
      </c>
      <c r="G733" s="4" t="str">
        <f aca="false">INDEX(Products!$C$2:$C$9,MATCH(E733,Products!$A$2:$A$9,0))</f>
        <v>Services</v>
      </c>
      <c r="H733" s="5" t="n">
        <v>3</v>
      </c>
      <c r="I733" s="6" t="n">
        <f aca="false">INDEX(Products!$D$2:$D$9,MATCH(E733,Products!$A$2:$A$9,0))</f>
        <v>600</v>
      </c>
      <c r="J733" s="7" t="n">
        <v>0.15</v>
      </c>
      <c r="K733" s="8" t="n">
        <f aca="false">H733*I733*(1-J733)</f>
        <v>1530</v>
      </c>
      <c r="L733" s="6" t="n">
        <f aca="false">H733*INDEX(Products!$E$2:$E$9,MATCH(E733,Products!$A$2:$A$9,0))</f>
        <v>1185</v>
      </c>
      <c r="M733" s="8" t="n">
        <f aca="false">K733-L733</f>
        <v>345</v>
      </c>
      <c r="N733" s="2" t="s">
        <v>19</v>
      </c>
      <c r="O733" s="2" t="s">
        <v>72</v>
      </c>
    </row>
    <row r="734" customFormat="false" ht="15" hidden="false" customHeight="false" outlineLevel="0" collapsed="false">
      <c r="A734" s="2" t="s">
        <v>788</v>
      </c>
      <c r="B734" s="3" t="n">
        <v>45968</v>
      </c>
      <c r="C734" s="2" t="s">
        <v>47</v>
      </c>
      <c r="D734" s="2" t="s">
        <v>157</v>
      </c>
      <c r="E734" s="2" t="s">
        <v>26</v>
      </c>
      <c r="F734" s="4" t="str">
        <f aca="false">INDEX(Products!$B$2:$B$9,MATCH(E734,Products!$A$2:$A$9,0))</f>
        <v>Analytics Basic</v>
      </c>
      <c r="G734" s="4" t="str">
        <f aca="false">INDEX(Products!$C$2:$C$9,MATCH(E734,Products!$A$2:$A$9,0))</f>
        <v>Software</v>
      </c>
      <c r="H734" s="5" t="n">
        <v>3</v>
      </c>
      <c r="I734" s="6" t="n">
        <f aca="false">INDEX(Products!$D$2:$D$9,MATCH(E734,Products!$A$2:$A$9,0))</f>
        <v>120</v>
      </c>
      <c r="J734" s="7" t="n">
        <v>0.1</v>
      </c>
      <c r="K734" s="8" t="n">
        <f aca="false">H734*I734*(1-J734)</f>
        <v>324</v>
      </c>
      <c r="L734" s="6" t="n">
        <f aca="false">H734*INDEX(Products!$E$2:$E$9,MATCH(E734,Products!$A$2:$A$9,0))</f>
        <v>54</v>
      </c>
      <c r="M734" s="8" t="n">
        <f aca="false">K734-L734</f>
        <v>270</v>
      </c>
      <c r="N734" s="2" t="s">
        <v>19</v>
      </c>
      <c r="O734" s="2" t="s">
        <v>72</v>
      </c>
    </row>
    <row r="735" customFormat="false" ht="15" hidden="false" customHeight="false" outlineLevel="0" collapsed="false">
      <c r="A735" s="2" t="s">
        <v>789</v>
      </c>
      <c r="B735" s="3" t="n">
        <v>45968</v>
      </c>
      <c r="C735" s="2" t="s">
        <v>16</v>
      </c>
      <c r="D735" s="2" t="s">
        <v>17</v>
      </c>
      <c r="E735" s="2" t="s">
        <v>23</v>
      </c>
      <c r="F735" s="4" t="str">
        <f aca="false">INDEX(Products!$B$2:$B$9,MATCH(E735,Products!$A$2:$A$9,0))</f>
        <v>Sensor Hub S</v>
      </c>
      <c r="G735" s="4" t="str">
        <f aca="false">INDEX(Products!$C$2:$C$9,MATCH(E735,Products!$A$2:$A$9,0))</f>
        <v>Hardware</v>
      </c>
      <c r="H735" s="5" t="n">
        <v>20</v>
      </c>
      <c r="I735" s="6" t="n">
        <f aca="false">INDEX(Products!$D$2:$D$9,MATCH(E735,Products!$A$2:$A$9,0))</f>
        <v>189</v>
      </c>
      <c r="J735" s="7" t="n">
        <v>0</v>
      </c>
      <c r="K735" s="8" t="n">
        <f aca="false">H735*I735*(1-J735)</f>
        <v>3780</v>
      </c>
      <c r="L735" s="6" t="n">
        <f aca="false">H735*INDEX(Products!$E$2:$E$9,MATCH(E735,Products!$A$2:$A$9,0))</f>
        <v>1960</v>
      </c>
      <c r="M735" s="8" t="n">
        <f aca="false">K735-L735</f>
        <v>1820</v>
      </c>
      <c r="N735" s="2" t="s">
        <v>28</v>
      </c>
      <c r="O735" s="2" t="s">
        <v>20</v>
      </c>
    </row>
    <row r="736" customFormat="false" ht="15" hidden="false" customHeight="false" outlineLevel="0" collapsed="false">
      <c r="A736" s="2" t="s">
        <v>790</v>
      </c>
      <c r="B736" s="3" t="n">
        <v>45968</v>
      </c>
      <c r="C736" s="2" t="s">
        <v>47</v>
      </c>
      <c r="D736" s="2" t="s">
        <v>48</v>
      </c>
      <c r="E736" s="2" t="s">
        <v>23</v>
      </c>
      <c r="F736" s="4" t="str">
        <f aca="false">INDEX(Products!$B$2:$B$9,MATCH(E736,Products!$A$2:$A$9,0))</f>
        <v>Sensor Hub S</v>
      </c>
      <c r="G736" s="4" t="str">
        <f aca="false">INDEX(Products!$C$2:$C$9,MATCH(E736,Products!$A$2:$A$9,0))</f>
        <v>Hardware</v>
      </c>
      <c r="H736" s="5" t="n">
        <v>1</v>
      </c>
      <c r="I736" s="6" t="n">
        <f aca="false">INDEX(Products!$D$2:$D$9,MATCH(E736,Products!$A$2:$A$9,0))</f>
        <v>189</v>
      </c>
      <c r="J736" s="7" t="n">
        <v>0</v>
      </c>
      <c r="K736" s="8" t="n">
        <f aca="false">H736*I736*(1-J736)</f>
        <v>189</v>
      </c>
      <c r="L736" s="6" t="n">
        <f aca="false">H736*INDEX(Products!$E$2:$E$9,MATCH(E736,Products!$A$2:$A$9,0))</f>
        <v>98</v>
      </c>
      <c r="M736" s="8" t="n">
        <f aca="false">K736-L736</f>
        <v>91</v>
      </c>
      <c r="N736" s="2" t="s">
        <v>28</v>
      </c>
      <c r="O736" s="2" t="s">
        <v>50</v>
      </c>
    </row>
    <row r="737" customFormat="false" ht="15" hidden="false" customHeight="false" outlineLevel="0" collapsed="false">
      <c r="A737" s="2" t="s">
        <v>791</v>
      </c>
      <c r="B737" s="3" t="n">
        <v>45968</v>
      </c>
      <c r="C737" s="2" t="s">
        <v>41</v>
      </c>
      <c r="D737" s="2" t="s">
        <v>42</v>
      </c>
      <c r="E737" s="2" t="s">
        <v>32</v>
      </c>
      <c r="F737" s="4" t="str">
        <f aca="false">INDEX(Products!$B$2:$B$9,MATCH(E737,Products!$A$2:$A$9,0))</f>
        <v>Analytics Plus</v>
      </c>
      <c r="G737" s="4" t="str">
        <f aca="false">INDEX(Products!$C$2:$C$9,MATCH(E737,Products!$A$2:$A$9,0))</f>
        <v>Software</v>
      </c>
      <c r="H737" s="5" t="n">
        <v>3</v>
      </c>
      <c r="I737" s="6" t="n">
        <f aca="false">INDEX(Products!$D$2:$D$9,MATCH(E737,Products!$A$2:$A$9,0))</f>
        <v>290</v>
      </c>
      <c r="J737" s="7" t="n">
        <v>0.15</v>
      </c>
      <c r="K737" s="8" t="n">
        <f aca="false">H737*I737*(1-J737)</f>
        <v>739.5</v>
      </c>
      <c r="L737" s="6" t="n">
        <f aca="false">H737*INDEX(Products!$E$2:$E$9,MATCH(E737,Products!$A$2:$A$9,0))</f>
        <v>123</v>
      </c>
      <c r="M737" s="8" t="n">
        <f aca="false">K737-L737</f>
        <v>616.5</v>
      </c>
      <c r="N737" s="2" t="s">
        <v>19</v>
      </c>
      <c r="O737" s="2" t="s">
        <v>52</v>
      </c>
    </row>
    <row r="738" customFormat="false" ht="15" hidden="false" customHeight="false" outlineLevel="0" collapsed="false">
      <c r="A738" s="2" t="s">
        <v>792</v>
      </c>
      <c r="B738" s="3" t="n">
        <v>45968</v>
      </c>
      <c r="C738" s="2" t="s">
        <v>41</v>
      </c>
      <c r="D738" s="2" t="s">
        <v>66</v>
      </c>
      <c r="E738" s="2" t="s">
        <v>57</v>
      </c>
      <c r="F738" s="4" t="str">
        <f aca="false">INDEX(Products!$B$2:$B$9,MATCH(E738,Products!$A$2:$A$9,0))</f>
        <v>Edge Gateway</v>
      </c>
      <c r="G738" s="4" t="str">
        <f aca="false">INDEX(Products!$C$2:$C$9,MATCH(E738,Products!$A$2:$A$9,0))</f>
        <v>Hardware</v>
      </c>
      <c r="H738" s="5" t="n">
        <v>1</v>
      </c>
      <c r="I738" s="6" t="n">
        <f aca="false">INDEX(Products!$D$2:$D$9,MATCH(E738,Products!$A$2:$A$9,0))</f>
        <v>899</v>
      </c>
      <c r="J738" s="7" t="n">
        <v>0</v>
      </c>
      <c r="K738" s="8" t="n">
        <f aca="false">H738*I738*(1-J738)</f>
        <v>899</v>
      </c>
      <c r="L738" s="6" t="n">
        <f aca="false">H738*INDEX(Products!$E$2:$E$9,MATCH(E738,Products!$A$2:$A$9,0))</f>
        <v>612</v>
      </c>
      <c r="M738" s="8" t="n">
        <f aca="false">K738-L738</f>
        <v>287</v>
      </c>
      <c r="N738" s="2" t="s">
        <v>28</v>
      </c>
      <c r="O738" s="2" t="s">
        <v>52</v>
      </c>
    </row>
    <row r="739" customFormat="false" ht="15" hidden="false" customHeight="false" outlineLevel="0" collapsed="false">
      <c r="A739" s="2" t="s">
        <v>793</v>
      </c>
      <c r="B739" s="3" t="n">
        <v>45971</v>
      </c>
      <c r="C739" s="2" t="s">
        <v>16</v>
      </c>
      <c r="D739" s="2" t="s">
        <v>35</v>
      </c>
      <c r="E739" s="2" t="s">
        <v>26</v>
      </c>
      <c r="F739" s="4" t="str">
        <f aca="false">INDEX(Products!$B$2:$B$9,MATCH(E739,Products!$A$2:$A$9,0))</f>
        <v>Analytics Basic</v>
      </c>
      <c r="G739" s="4" t="str">
        <f aca="false">INDEX(Products!$C$2:$C$9,MATCH(E739,Products!$A$2:$A$9,0))</f>
        <v>Software</v>
      </c>
      <c r="H739" s="5" t="n">
        <v>1</v>
      </c>
      <c r="I739" s="6" t="n">
        <f aca="false">INDEX(Products!$D$2:$D$9,MATCH(E739,Products!$A$2:$A$9,0))</f>
        <v>120</v>
      </c>
      <c r="J739" s="7" t="n">
        <v>0.1</v>
      </c>
      <c r="K739" s="8" t="n">
        <f aca="false">H739*I739*(1-J739)</f>
        <v>108</v>
      </c>
      <c r="L739" s="6" t="n">
        <f aca="false">H739*INDEX(Products!$E$2:$E$9,MATCH(E739,Products!$A$2:$A$9,0))</f>
        <v>18</v>
      </c>
      <c r="M739" s="8" t="n">
        <f aca="false">K739-L739</f>
        <v>90</v>
      </c>
      <c r="N739" s="2" t="s">
        <v>19</v>
      </c>
      <c r="O739" s="2" t="s">
        <v>20</v>
      </c>
    </row>
    <row r="740" customFormat="false" ht="15" hidden="false" customHeight="false" outlineLevel="0" collapsed="false">
      <c r="A740" s="2" t="s">
        <v>794</v>
      </c>
      <c r="B740" s="3" t="n">
        <v>45971</v>
      </c>
      <c r="C740" s="2" t="s">
        <v>47</v>
      </c>
      <c r="D740" s="2" t="s">
        <v>55</v>
      </c>
      <c r="E740" s="2" t="s">
        <v>32</v>
      </c>
      <c r="F740" s="4" t="str">
        <f aca="false">INDEX(Products!$B$2:$B$9,MATCH(E740,Products!$A$2:$A$9,0))</f>
        <v>Analytics Plus</v>
      </c>
      <c r="G740" s="4" t="str">
        <f aca="false">INDEX(Products!$C$2:$C$9,MATCH(E740,Products!$A$2:$A$9,0))</f>
        <v>Software</v>
      </c>
      <c r="H740" s="5" t="n">
        <v>3</v>
      </c>
      <c r="I740" s="6" t="n">
        <f aca="false">INDEX(Products!$D$2:$D$9,MATCH(E740,Products!$A$2:$A$9,0))</f>
        <v>290</v>
      </c>
      <c r="J740" s="7" t="n">
        <v>0.05</v>
      </c>
      <c r="K740" s="8" t="n">
        <f aca="false">H740*I740*(1-J740)</f>
        <v>826.5</v>
      </c>
      <c r="L740" s="6" t="n">
        <f aca="false">H740*INDEX(Products!$E$2:$E$9,MATCH(E740,Products!$A$2:$A$9,0))</f>
        <v>123</v>
      </c>
      <c r="M740" s="8" t="n">
        <f aca="false">K740-L740</f>
        <v>703.5</v>
      </c>
      <c r="N740" s="2" t="s">
        <v>28</v>
      </c>
      <c r="O740" s="2" t="s">
        <v>50</v>
      </c>
    </row>
    <row r="741" customFormat="false" ht="15" hidden="false" customHeight="false" outlineLevel="0" collapsed="false">
      <c r="A741" s="2" t="s">
        <v>795</v>
      </c>
      <c r="B741" s="3" t="n">
        <v>45971</v>
      </c>
      <c r="C741" s="2" t="s">
        <v>41</v>
      </c>
      <c r="D741" s="2" t="s">
        <v>66</v>
      </c>
      <c r="E741" s="2" t="s">
        <v>32</v>
      </c>
      <c r="F741" s="4" t="str">
        <f aca="false">INDEX(Products!$B$2:$B$9,MATCH(E741,Products!$A$2:$A$9,0))</f>
        <v>Analytics Plus</v>
      </c>
      <c r="G741" s="4" t="str">
        <f aca="false">INDEX(Products!$C$2:$C$9,MATCH(E741,Products!$A$2:$A$9,0))</f>
        <v>Software</v>
      </c>
      <c r="H741" s="5" t="n">
        <v>5</v>
      </c>
      <c r="I741" s="6" t="n">
        <f aca="false">INDEX(Products!$D$2:$D$9,MATCH(E741,Products!$A$2:$A$9,0))</f>
        <v>290</v>
      </c>
      <c r="J741" s="7" t="n">
        <v>0.05</v>
      </c>
      <c r="K741" s="8" t="n">
        <f aca="false">H741*I741*(1-J741)</f>
        <v>1377.5</v>
      </c>
      <c r="L741" s="6" t="n">
        <f aca="false">H741*INDEX(Products!$E$2:$E$9,MATCH(E741,Products!$A$2:$A$9,0))</f>
        <v>205</v>
      </c>
      <c r="M741" s="8" t="n">
        <f aca="false">K741-L741</f>
        <v>1172.5</v>
      </c>
      <c r="N741" s="2" t="s">
        <v>28</v>
      </c>
      <c r="O741" s="2" t="s">
        <v>52</v>
      </c>
    </row>
    <row r="742" customFormat="false" ht="15" hidden="false" customHeight="false" outlineLevel="0" collapsed="false">
      <c r="A742" s="2" t="s">
        <v>796</v>
      </c>
      <c r="B742" s="3" t="n">
        <v>45972</v>
      </c>
      <c r="C742" s="2" t="s">
        <v>47</v>
      </c>
      <c r="D742" s="2" t="s">
        <v>71</v>
      </c>
      <c r="E742" s="2" t="s">
        <v>23</v>
      </c>
      <c r="F742" s="4" t="str">
        <f aca="false">INDEX(Products!$B$2:$B$9,MATCH(E742,Products!$A$2:$A$9,0))</f>
        <v>Sensor Hub S</v>
      </c>
      <c r="G742" s="4" t="str">
        <f aca="false">INDEX(Products!$C$2:$C$9,MATCH(E742,Products!$A$2:$A$9,0))</f>
        <v>Hardware</v>
      </c>
      <c r="H742" s="5" t="n">
        <v>12</v>
      </c>
      <c r="I742" s="6" t="n">
        <f aca="false">INDEX(Products!$D$2:$D$9,MATCH(E742,Products!$A$2:$A$9,0))</f>
        <v>189</v>
      </c>
      <c r="J742" s="7" t="n">
        <v>0.1</v>
      </c>
      <c r="K742" s="8" t="n">
        <f aca="false">H742*I742*(1-J742)</f>
        <v>2041.2</v>
      </c>
      <c r="L742" s="6" t="n">
        <f aca="false">H742*INDEX(Products!$E$2:$E$9,MATCH(E742,Products!$A$2:$A$9,0))</f>
        <v>1176</v>
      </c>
      <c r="M742" s="8" t="n">
        <f aca="false">K742-L742</f>
        <v>865.2</v>
      </c>
      <c r="N742" s="2" t="s">
        <v>28</v>
      </c>
      <c r="O742" s="2" t="s">
        <v>50</v>
      </c>
    </row>
    <row r="743" customFormat="false" ht="15" hidden="false" customHeight="false" outlineLevel="0" collapsed="false">
      <c r="A743" s="2" t="s">
        <v>797</v>
      </c>
      <c r="B743" s="3" t="n">
        <v>45973</v>
      </c>
      <c r="C743" s="2" t="s">
        <v>30</v>
      </c>
      <c r="D743" s="2" t="s">
        <v>31</v>
      </c>
      <c r="E743" s="2" t="s">
        <v>49</v>
      </c>
      <c r="F743" s="4" t="str">
        <f aca="false">INDEX(Products!$B$2:$B$9,MATCH(E743,Products!$A$2:$A$9,0))</f>
        <v>Mounting Kit</v>
      </c>
      <c r="G743" s="4" t="str">
        <f aca="false">INDEX(Products!$C$2:$C$9,MATCH(E743,Products!$A$2:$A$9,0))</f>
        <v>Accessories</v>
      </c>
      <c r="H743" s="5" t="n">
        <v>2</v>
      </c>
      <c r="I743" s="6" t="n">
        <f aca="false">INDEX(Products!$D$2:$D$9,MATCH(E743,Products!$A$2:$A$9,0))</f>
        <v>39</v>
      </c>
      <c r="J743" s="7" t="n">
        <v>0.1</v>
      </c>
      <c r="K743" s="8" t="n">
        <f aca="false">H743*I743*(1-J743)</f>
        <v>70.2</v>
      </c>
      <c r="L743" s="6" t="n">
        <f aca="false">H743*INDEX(Products!$E$2:$E$9,MATCH(E743,Products!$A$2:$A$9,0))</f>
        <v>63</v>
      </c>
      <c r="M743" s="8" t="n">
        <f aca="false">K743-L743</f>
        <v>7.2</v>
      </c>
      <c r="N743" s="2" t="s">
        <v>19</v>
      </c>
      <c r="O743" s="2" t="s">
        <v>64</v>
      </c>
    </row>
    <row r="744" customFormat="false" ht="15" hidden="false" customHeight="false" outlineLevel="0" collapsed="false">
      <c r="A744" s="2" t="s">
        <v>798</v>
      </c>
      <c r="B744" s="3" t="n">
        <v>45973</v>
      </c>
      <c r="C744" s="2" t="s">
        <v>16</v>
      </c>
      <c r="D744" s="2" t="s">
        <v>25</v>
      </c>
      <c r="E744" s="2" t="s">
        <v>32</v>
      </c>
      <c r="F744" s="4" t="str">
        <f aca="false">INDEX(Products!$B$2:$B$9,MATCH(E744,Products!$A$2:$A$9,0))</f>
        <v>Analytics Plus</v>
      </c>
      <c r="G744" s="4" t="str">
        <f aca="false">INDEX(Products!$C$2:$C$9,MATCH(E744,Products!$A$2:$A$9,0))</f>
        <v>Software</v>
      </c>
      <c r="H744" s="5" t="n">
        <v>1</v>
      </c>
      <c r="I744" s="6" t="n">
        <f aca="false">INDEX(Products!$D$2:$D$9,MATCH(E744,Products!$A$2:$A$9,0))</f>
        <v>290</v>
      </c>
      <c r="J744" s="7" t="n">
        <v>0.1</v>
      </c>
      <c r="K744" s="8" t="n">
        <f aca="false">H744*I744*(1-J744)</f>
        <v>261</v>
      </c>
      <c r="L744" s="6" t="n">
        <f aca="false">H744*INDEX(Products!$E$2:$E$9,MATCH(E744,Products!$A$2:$A$9,0))</f>
        <v>41</v>
      </c>
      <c r="M744" s="8" t="n">
        <f aca="false">K744-L744</f>
        <v>220</v>
      </c>
      <c r="N744" s="2" t="s">
        <v>19</v>
      </c>
      <c r="O744" s="2" t="s">
        <v>20</v>
      </c>
    </row>
    <row r="745" customFormat="false" ht="15" hidden="false" customHeight="false" outlineLevel="0" collapsed="false">
      <c r="A745" s="2" t="s">
        <v>799</v>
      </c>
      <c r="B745" s="3" t="n">
        <v>45973</v>
      </c>
      <c r="C745" s="2" t="s">
        <v>16</v>
      </c>
      <c r="D745" s="2" t="s">
        <v>22</v>
      </c>
      <c r="E745" s="2" t="s">
        <v>57</v>
      </c>
      <c r="F745" s="4" t="str">
        <f aca="false">INDEX(Products!$B$2:$B$9,MATCH(E745,Products!$A$2:$A$9,0))</f>
        <v>Edge Gateway</v>
      </c>
      <c r="G745" s="4" t="str">
        <f aca="false">INDEX(Products!$C$2:$C$9,MATCH(E745,Products!$A$2:$A$9,0))</f>
        <v>Hardware</v>
      </c>
      <c r="H745" s="5" t="n">
        <v>20</v>
      </c>
      <c r="I745" s="6" t="n">
        <f aca="false">INDEX(Products!$D$2:$D$9,MATCH(E745,Products!$A$2:$A$9,0))</f>
        <v>899</v>
      </c>
      <c r="J745" s="7" t="n">
        <v>0.1</v>
      </c>
      <c r="K745" s="8" t="n">
        <f aca="false">H745*I745*(1-J745)</f>
        <v>16182</v>
      </c>
      <c r="L745" s="6" t="n">
        <f aca="false">H745*INDEX(Products!$E$2:$E$9,MATCH(E745,Products!$A$2:$A$9,0))</f>
        <v>12240</v>
      </c>
      <c r="M745" s="8" t="n">
        <f aca="false">K745-L745</f>
        <v>3942</v>
      </c>
      <c r="N745" s="2" t="s">
        <v>28</v>
      </c>
      <c r="O745" s="2" t="s">
        <v>20</v>
      </c>
    </row>
    <row r="746" customFormat="false" ht="15" hidden="false" customHeight="false" outlineLevel="0" collapsed="false">
      <c r="A746" s="2" t="s">
        <v>800</v>
      </c>
      <c r="B746" s="3" t="n">
        <v>45973</v>
      </c>
      <c r="C746" s="2" t="s">
        <v>16</v>
      </c>
      <c r="D746" s="2" t="s">
        <v>17</v>
      </c>
      <c r="E746" s="2" t="s">
        <v>23</v>
      </c>
      <c r="F746" s="4" t="str">
        <f aca="false">INDEX(Products!$B$2:$B$9,MATCH(E746,Products!$A$2:$A$9,0))</f>
        <v>Sensor Hub S</v>
      </c>
      <c r="G746" s="4" t="str">
        <f aca="false">INDEX(Products!$C$2:$C$9,MATCH(E746,Products!$A$2:$A$9,0))</f>
        <v>Hardware</v>
      </c>
      <c r="H746" s="5" t="n">
        <v>3</v>
      </c>
      <c r="I746" s="6" t="n">
        <f aca="false">INDEX(Products!$D$2:$D$9,MATCH(E746,Products!$A$2:$A$9,0))</f>
        <v>189</v>
      </c>
      <c r="J746" s="7" t="n">
        <v>0.1</v>
      </c>
      <c r="K746" s="8" t="n">
        <f aca="false">H746*I746*(1-J746)</f>
        <v>510.3</v>
      </c>
      <c r="L746" s="6" t="n">
        <f aca="false">H746*INDEX(Products!$E$2:$E$9,MATCH(E746,Products!$A$2:$A$9,0))</f>
        <v>294</v>
      </c>
      <c r="M746" s="8" t="n">
        <f aca="false">K746-L746</f>
        <v>216.3</v>
      </c>
      <c r="N746" s="2" t="s">
        <v>19</v>
      </c>
      <c r="O746" s="2" t="s">
        <v>36</v>
      </c>
    </row>
    <row r="747" customFormat="false" ht="15" hidden="false" customHeight="false" outlineLevel="0" collapsed="false">
      <c r="A747" s="2" t="s">
        <v>801</v>
      </c>
      <c r="B747" s="3" t="n">
        <v>45974</v>
      </c>
      <c r="C747" s="2" t="s">
        <v>41</v>
      </c>
      <c r="D747" s="2" t="s">
        <v>66</v>
      </c>
      <c r="E747" s="2" t="s">
        <v>32</v>
      </c>
      <c r="F747" s="4" t="str">
        <f aca="false">INDEX(Products!$B$2:$B$9,MATCH(E747,Products!$A$2:$A$9,0))</f>
        <v>Analytics Plus</v>
      </c>
      <c r="G747" s="4" t="str">
        <f aca="false">INDEX(Products!$C$2:$C$9,MATCH(E747,Products!$A$2:$A$9,0))</f>
        <v>Software</v>
      </c>
      <c r="H747" s="5" t="n">
        <v>1</v>
      </c>
      <c r="I747" s="6" t="n">
        <f aca="false">INDEX(Products!$D$2:$D$9,MATCH(E747,Products!$A$2:$A$9,0))</f>
        <v>290</v>
      </c>
      <c r="J747" s="7" t="n">
        <v>0.1</v>
      </c>
      <c r="K747" s="8" t="n">
        <f aca="false">H747*I747*(1-J747)</f>
        <v>261</v>
      </c>
      <c r="L747" s="6" t="n">
        <f aca="false">H747*INDEX(Products!$E$2:$E$9,MATCH(E747,Products!$A$2:$A$9,0))</f>
        <v>41</v>
      </c>
      <c r="M747" s="8" t="n">
        <f aca="false">K747-L747</f>
        <v>220</v>
      </c>
      <c r="N747" s="2" t="s">
        <v>19</v>
      </c>
      <c r="O747" s="2" t="s">
        <v>52</v>
      </c>
    </row>
    <row r="748" customFormat="false" ht="15" hidden="false" customHeight="false" outlineLevel="0" collapsed="false">
      <c r="A748" s="2" t="s">
        <v>802</v>
      </c>
      <c r="B748" s="3" t="n">
        <v>45974</v>
      </c>
      <c r="C748" s="2" t="s">
        <v>59</v>
      </c>
      <c r="D748" s="2" t="s">
        <v>101</v>
      </c>
      <c r="E748" s="2" t="s">
        <v>26</v>
      </c>
      <c r="F748" s="4" t="str">
        <f aca="false">INDEX(Products!$B$2:$B$9,MATCH(E748,Products!$A$2:$A$9,0))</f>
        <v>Analytics Basic</v>
      </c>
      <c r="G748" s="4" t="str">
        <f aca="false">INDEX(Products!$C$2:$C$9,MATCH(E748,Products!$A$2:$A$9,0))</f>
        <v>Software</v>
      </c>
      <c r="H748" s="5" t="n">
        <v>2</v>
      </c>
      <c r="I748" s="6" t="n">
        <f aca="false">INDEX(Products!$D$2:$D$9,MATCH(E748,Products!$A$2:$A$9,0))</f>
        <v>120</v>
      </c>
      <c r="J748" s="7" t="n">
        <v>0.2</v>
      </c>
      <c r="K748" s="8" t="n">
        <f aca="false">H748*I748*(1-J748)</f>
        <v>192</v>
      </c>
      <c r="L748" s="6" t="n">
        <f aca="false">H748*INDEX(Products!$E$2:$E$9,MATCH(E748,Products!$A$2:$A$9,0))</f>
        <v>36</v>
      </c>
      <c r="M748" s="8" t="n">
        <f aca="false">K748-L748</f>
        <v>156</v>
      </c>
      <c r="N748" s="2" t="s">
        <v>19</v>
      </c>
      <c r="O748" s="2" t="s">
        <v>62</v>
      </c>
    </row>
    <row r="749" customFormat="false" ht="15" hidden="false" customHeight="false" outlineLevel="0" collapsed="false">
      <c r="A749" s="2" t="s">
        <v>803</v>
      </c>
      <c r="B749" s="3" t="n">
        <v>45974</v>
      </c>
      <c r="C749" s="2" t="s">
        <v>16</v>
      </c>
      <c r="D749" s="2" t="s">
        <v>25</v>
      </c>
      <c r="E749" s="2" t="s">
        <v>26</v>
      </c>
      <c r="F749" s="4" t="str">
        <f aca="false">INDEX(Products!$B$2:$B$9,MATCH(E749,Products!$A$2:$A$9,0))</f>
        <v>Analytics Basic</v>
      </c>
      <c r="G749" s="4" t="str">
        <f aca="false">INDEX(Products!$C$2:$C$9,MATCH(E749,Products!$A$2:$A$9,0))</f>
        <v>Software</v>
      </c>
      <c r="H749" s="5" t="n">
        <v>3</v>
      </c>
      <c r="I749" s="6" t="n">
        <f aca="false">INDEX(Products!$D$2:$D$9,MATCH(E749,Products!$A$2:$A$9,0))</f>
        <v>120</v>
      </c>
      <c r="J749" s="7" t="n">
        <v>0.05</v>
      </c>
      <c r="K749" s="8" t="n">
        <f aca="false">H749*I749*(1-J749)</f>
        <v>342</v>
      </c>
      <c r="L749" s="6" t="n">
        <f aca="false">H749*INDEX(Products!$E$2:$E$9,MATCH(E749,Products!$A$2:$A$9,0))</f>
        <v>54</v>
      </c>
      <c r="M749" s="8" t="n">
        <f aca="false">K749-L749</f>
        <v>288</v>
      </c>
      <c r="N749" s="2" t="s">
        <v>38</v>
      </c>
      <c r="O749" s="2" t="s">
        <v>36</v>
      </c>
    </row>
    <row r="750" customFormat="false" ht="15" hidden="false" customHeight="false" outlineLevel="0" collapsed="false">
      <c r="A750" s="2" t="s">
        <v>804</v>
      </c>
      <c r="B750" s="3" t="n">
        <v>45974</v>
      </c>
      <c r="C750" s="2" t="s">
        <v>30</v>
      </c>
      <c r="D750" s="2" t="s">
        <v>31</v>
      </c>
      <c r="E750" s="2" t="s">
        <v>18</v>
      </c>
      <c r="F750" s="4" t="str">
        <f aca="false">INDEX(Products!$B$2:$B$9,MATCH(E750,Products!$A$2:$A$9,0))</f>
        <v>Sensor Hub Pro</v>
      </c>
      <c r="G750" s="4" t="str">
        <f aca="false">INDEX(Products!$C$2:$C$9,MATCH(E750,Products!$A$2:$A$9,0))</f>
        <v>Hardware</v>
      </c>
      <c r="H750" s="5" t="n">
        <v>20</v>
      </c>
      <c r="I750" s="6" t="n">
        <f aca="false">INDEX(Products!$D$2:$D$9,MATCH(E750,Products!$A$2:$A$9,0))</f>
        <v>349</v>
      </c>
      <c r="J750" s="7" t="n">
        <v>0.05</v>
      </c>
      <c r="K750" s="8" t="n">
        <f aca="false">H750*I750*(1-J750)</f>
        <v>6631</v>
      </c>
      <c r="L750" s="6" t="n">
        <f aca="false">H750*INDEX(Products!$E$2:$E$9,MATCH(E750,Products!$A$2:$A$9,0))</f>
        <v>4020</v>
      </c>
      <c r="M750" s="8" t="n">
        <f aca="false">K750-L750</f>
        <v>2611</v>
      </c>
      <c r="N750" s="2" t="s">
        <v>28</v>
      </c>
      <c r="O750" s="2" t="s">
        <v>64</v>
      </c>
    </row>
    <row r="751" customFormat="false" ht="15" hidden="false" customHeight="false" outlineLevel="0" collapsed="false">
      <c r="A751" s="2" t="s">
        <v>805</v>
      </c>
      <c r="B751" s="3" t="n">
        <v>45975</v>
      </c>
      <c r="C751" s="2" t="s">
        <v>41</v>
      </c>
      <c r="D751" s="2" t="s">
        <v>66</v>
      </c>
      <c r="E751" s="2" t="s">
        <v>18</v>
      </c>
      <c r="F751" s="4" t="str">
        <f aca="false">INDEX(Products!$B$2:$B$9,MATCH(E751,Products!$A$2:$A$9,0))</f>
        <v>Sensor Hub Pro</v>
      </c>
      <c r="G751" s="4" t="str">
        <f aca="false">INDEX(Products!$C$2:$C$9,MATCH(E751,Products!$A$2:$A$9,0))</f>
        <v>Hardware</v>
      </c>
      <c r="H751" s="5" t="n">
        <v>4</v>
      </c>
      <c r="I751" s="6" t="n">
        <f aca="false">INDEX(Products!$D$2:$D$9,MATCH(E751,Products!$A$2:$A$9,0))</f>
        <v>349</v>
      </c>
      <c r="J751" s="7" t="n">
        <v>0</v>
      </c>
      <c r="K751" s="8" t="n">
        <f aca="false">H751*I751*(1-J751)</f>
        <v>1396</v>
      </c>
      <c r="L751" s="6" t="n">
        <f aca="false">H751*INDEX(Products!$E$2:$E$9,MATCH(E751,Products!$A$2:$A$9,0))</f>
        <v>804</v>
      </c>
      <c r="M751" s="8" t="n">
        <f aca="false">K751-L751</f>
        <v>592</v>
      </c>
      <c r="N751" s="2" t="s">
        <v>28</v>
      </c>
      <c r="O751" s="2" t="s">
        <v>43</v>
      </c>
    </row>
    <row r="752" customFormat="false" ht="15" hidden="false" customHeight="false" outlineLevel="0" collapsed="false">
      <c r="A752" s="2" t="s">
        <v>806</v>
      </c>
      <c r="B752" s="3" t="n">
        <v>45975</v>
      </c>
      <c r="C752" s="2" t="s">
        <v>47</v>
      </c>
      <c r="D752" s="2" t="s">
        <v>71</v>
      </c>
      <c r="E752" s="2" t="s">
        <v>57</v>
      </c>
      <c r="F752" s="4" t="str">
        <f aca="false">INDEX(Products!$B$2:$B$9,MATCH(E752,Products!$A$2:$A$9,0))</f>
        <v>Edge Gateway</v>
      </c>
      <c r="G752" s="4" t="str">
        <f aca="false">INDEX(Products!$C$2:$C$9,MATCH(E752,Products!$A$2:$A$9,0))</f>
        <v>Hardware</v>
      </c>
      <c r="H752" s="5" t="n">
        <v>10</v>
      </c>
      <c r="I752" s="6" t="n">
        <f aca="false">INDEX(Products!$D$2:$D$9,MATCH(E752,Products!$A$2:$A$9,0))</f>
        <v>899</v>
      </c>
      <c r="J752" s="7" t="n">
        <v>0.15</v>
      </c>
      <c r="K752" s="8" t="n">
        <f aca="false">H752*I752*(1-J752)</f>
        <v>7641.5</v>
      </c>
      <c r="L752" s="6" t="n">
        <f aca="false">H752*INDEX(Products!$E$2:$E$9,MATCH(E752,Products!$A$2:$A$9,0))</f>
        <v>6120</v>
      </c>
      <c r="M752" s="8" t="n">
        <f aca="false">K752-L752</f>
        <v>1521.5</v>
      </c>
      <c r="N752" s="2" t="s">
        <v>19</v>
      </c>
      <c r="O752" s="2" t="s">
        <v>72</v>
      </c>
    </row>
    <row r="753" customFormat="false" ht="15" hidden="false" customHeight="false" outlineLevel="0" collapsed="false">
      <c r="A753" s="2" t="s">
        <v>807</v>
      </c>
      <c r="B753" s="3" t="n">
        <v>45975</v>
      </c>
      <c r="C753" s="2" t="s">
        <v>41</v>
      </c>
      <c r="D753" s="2" t="s">
        <v>42</v>
      </c>
      <c r="E753" s="2" t="s">
        <v>68</v>
      </c>
      <c r="F753" s="4" t="str">
        <f aca="false">INDEX(Products!$B$2:$B$9,MATCH(E753,Products!$A$2:$A$9,0))</f>
        <v>Premium Support</v>
      </c>
      <c r="G753" s="4" t="str">
        <f aca="false">INDEX(Products!$C$2:$C$9,MATCH(E753,Products!$A$2:$A$9,0))</f>
        <v>Services</v>
      </c>
      <c r="H753" s="5" t="n">
        <v>1</v>
      </c>
      <c r="I753" s="6" t="n">
        <f aca="false">INDEX(Products!$D$2:$D$9,MATCH(E753,Products!$A$2:$A$9,0))</f>
        <v>600</v>
      </c>
      <c r="J753" s="7" t="n">
        <v>0.1</v>
      </c>
      <c r="K753" s="8" t="n">
        <f aca="false">H753*I753*(1-J753)</f>
        <v>540</v>
      </c>
      <c r="L753" s="6" t="n">
        <f aca="false">H753*INDEX(Products!$E$2:$E$9,MATCH(E753,Products!$A$2:$A$9,0))</f>
        <v>395</v>
      </c>
      <c r="M753" s="8" t="n">
        <f aca="false">K753-L753</f>
        <v>145</v>
      </c>
      <c r="N753" s="2" t="s">
        <v>19</v>
      </c>
      <c r="O753" s="2" t="s">
        <v>52</v>
      </c>
    </row>
    <row r="754" customFormat="false" ht="15" hidden="false" customHeight="false" outlineLevel="0" collapsed="false">
      <c r="A754" s="2" t="s">
        <v>808</v>
      </c>
      <c r="B754" s="3" t="n">
        <v>45976</v>
      </c>
      <c r="C754" s="2" t="s">
        <v>47</v>
      </c>
      <c r="D754" s="2" t="s">
        <v>55</v>
      </c>
      <c r="E754" s="2" t="s">
        <v>49</v>
      </c>
      <c r="F754" s="4" t="str">
        <f aca="false">INDEX(Products!$B$2:$B$9,MATCH(E754,Products!$A$2:$A$9,0))</f>
        <v>Mounting Kit</v>
      </c>
      <c r="G754" s="4" t="str">
        <f aca="false">INDEX(Products!$C$2:$C$9,MATCH(E754,Products!$A$2:$A$9,0))</f>
        <v>Accessories</v>
      </c>
      <c r="H754" s="5" t="n">
        <v>2</v>
      </c>
      <c r="I754" s="6" t="n">
        <f aca="false">INDEX(Products!$D$2:$D$9,MATCH(E754,Products!$A$2:$A$9,0))</f>
        <v>39</v>
      </c>
      <c r="J754" s="7" t="n">
        <v>0.1</v>
      </c>
      <c r="K754" s="8" t="n">
        <f aca="false">H754*I754*(1-J754)</f>
        <v>70.2</v>
      </c>
      <c r="L754" s="6" t="n">
        <f aca="false">H754*INDEX(Products!$E$2:$E$9,MATCH(E754,Products!$A$2:$A$9,0))</f>
        <v>63</v>
      </c>
      <c r="M754" s="8" t="n">
        <f aca="false">K754-L754</f>
        <v>7.2</v>
      </c>
      <c r="N754" s="2" t="s">
        <v>19</v>
      </c>
      <c r="O754" s="2" t="s">
        <v>50</v>
      </c>
    </row>
    <row r="755" customFormat="false" ht="15" hidden="false" customHeight="false" outlineLevel="0" collapsed="false">
      <c r="A755" s="2" t="s">
        <v>809</v>
      </c>
      <c r="B755" s="3" t="n">
        <v>45978</v>
      </c>
      <c r="C755" s="2" t="s">
        <v>47</v>
      </c>
      <c r="D755" s="2" t="s">
        <v>48</v>
      </c>
      <c r="E755" s="2" t="s">
        <v>23</v>
      </c>
      <c r="F755" s="4" t="str">
        <f aca="false">INDEX(Products!$B$2:$B$9,MATCH(E755,Products!$A$2:$A$9,0))</f>
        <v>Sensor Hub S</v>
      </c>
      <c r="G755" s="4" t="str">
        <f aca="false">INDEX(Products!$C$2:$C$9,MATCH(E755,Products!$A$2:$A$9,0))</f>
        <v>Hardware</v>
      </c>
      <c r="H755" s="5" t="n">
        <v>8</v>
      </c>
      <c r="I755" s="6" t="n">
        <f aca="false">INDEX(Products!$D$2:$D$9,MATCH(E755,Products!$A$2:$A$9,0))</f>
        <v>189</v>
      </c>
      <c r="J755" s="7" t="n">
        <v>0</v>
      </c>
      <c r="K755" s="8" t="n">
        <f aca="false">H755*I755*(1-J755)</f>
        <v>1512</v>
      </c>
      <c r="L755" s="6" t="n">
        <f aca="false">H755*INDEX(Products!$E$2:$E$9,MATCH(E755,Products!$A$2:$A$9,0))</f>
        <v>784</v>
      </c>
      <c r="M755" s="8" t="n">
        <f aca="false">K755-L755</f>
        <v>728</v>
      </c>
      <c r="N755" s="2" t="s">
        <v>38</v>
      </c>
      <c r="O755" s="2" t="s">
        <v>50</v>
      </c>
    </row>
    <row r="756" customFormat="false" ht="15" hidden="false" customHeight="false" outlineLevel="0" collapsed="false">
      <c r="A756" s="2" t="s">
        <v>810</v>
      </c>
      <c r="B756" s="3" t="n">
        <v>45978</v>
      </c>
      <c r="C756" s="2" t="s">
        <v>59</v>
      </c>
      <c r="D756" s="2" t="s">
        <v>101</v>
      </c>
      <c r="E756" s="2" t="s">
        <v>61</v>
      </c>
      <c r="F756" s="4" t="str">
        <f aca="false">INDEX(Products!$B$2:$B$9,MATCH(E756,Products!$A$2:$A$9,0))</f>
        <v>Install Service</v>
      </c>
      <c r="G756" s="4" t="str">
        <f aca="false">INDEX(Products!$C$2:$C$9,MATCH(E756,Products!$A$2:$A$9,0))</f>
        <v>Services</v>
      </c>
      <c r="H756" s="5" t="n">
        <v>3</v>
      </c>
      <c r="I756" s="6" t="n">
        <f aca="false">INDEX(Products!$D$2:$D$9,MATCH(E756,Products!$A$2:$A$9,0))</f>
        <v>450</v>
      </c>
      <c r="J756" s="7" t="n">
        <v>0</v>
      </c>
      <c r="K756" s="8" t="n">
        <f aca="false">H756*I756*(1-J756)</f>
        <v>1350</v>
      </c>
      <c r="L756" s="6" t="n">
        <f aca="false">H756*INDEX(Products!$E$2:$E$9,MATCH(E756,Products!$A$2:$A$9,0))</f>
        <v>930</v>
      </c>
      <c r="M756" s="8" t="n">
        <f aca="false">K756-L756</f>
        <v>420</v>
      </c>
      <c r="N756" s="2" t="s">
        <v>28</v>
      </c>
      <c r="O756" s="2" t="s">
        <v>62</v>
      </c>
    </row>
    <row r="757" customFormat="false" ht="15" hidden="false" customHeight="false" outlineLevel="0" collapsed="false">
      <c r="A757" s="2" t="s">
        <v>811</v>
      </c>
      <c r="B757" s="3" t="n">
        <v>45978</v>
      </c>
      <c r="C757" s="2" t="s">
        <v>30</v>
      </c>
      <c r="D757" s="2" t="s">
        <v>128</v>
      </c>
      <c r="E757" s="2" t="s">
        <v>49</v>
      </c>
      <c r="F757" s="4" t="str">
        <f aca="false">INDEX(Products!$B$2:$B$9,MATCH(E757,Products!$A$2:$A$9,0))</f>
        <v>Mounting Kit</v>
      </c>
      <c r="G757" s="4" t="str">
        <f aca="false">INDEX(Products!$C$2:$C$9,MATCH(E757,Products!$A$2:$A$9,0))</f>
        <v>Accessories</v>
      </c>
      <c r="H757" s="5" t="n">
        <v>20</v>
      </c>
      <c r="I757" s="6" t="n">
        <f aca="false">INDEX(Products!$D$2:$D$9,MATCH(E757,Products!$A$2:$A$9,0))</f>
        <v>39</v>
      </c>
      <c r="J757" s="7" t="n">
        <v>0</v>
      </c>
      <c r="K757" s="8" t="n">
        <f aca="false">H757*I757*(1-J757)</f>
        <v>780</v>
      </c>
      <c r="L757" s="6" t="n">
        <f aca="false">H757*INDEX(Products!$E$2:$E$9,MATCH(E757,Products!$A$2:$A$9,0))</f>
        <v>630</v>
      </c>
      <c r="M757" s="8" t="n">
        <f aca="false">K757-L757</f>
        <v>150</v>
      </c>
      <c r="N757" s="2" t="s">
        <v>38</v>
      </c>
      <c r="O757" s="2" t="s">
        <v>64</v>
      </c>
    </row>
    <row r="758" customFormat="false" ht="15" hidden="false" customHeight="false" outlineLevel="0" collapsed="false">
      <c r="A758" s="2" t="s">
        <v>812</v>
      </c>
      <c r="B758" s="3" t="n">
        <v>45978</v>
      </c>
      <c r="C758" s="2" t="s">
        <v>47</v>
      </c>
      <c r="D758" s="2" t="s">
        <v>55</v>
      </c>
      <c r="E758" s="2" t="s">
        <v>61</v>
      </c>
      <c r="F758" s="4" t="str">
        <f aca="false">INDEX(Products!$B$2:$B$9,MATCH(E758,Products!$A$2:$A$9,0))</f>
        <v>Install Service</v>
      </c>
      <c r="G758" s="4" t="str">
        <f aca="false">INDEX(Products!$C$2:$C$9,MATCH(E758,Products!$A$2:$A$9,0))</f>
        <v>Services</v>
      </c>
      <c r="H758" s="5" t="n">
        <v>3</v>
      </c>
      <c r="I758" s="6" t="n">
        <f aca="false">INDEX(Products!$D$2:$D$9,MATCH(E758,Products!$A$2:$A$9,0))</f>
        <v>450</v>
      </c>
      <c r="J758" s="7" t="n">
        <v>0</v>
      </c>
      <c r="K758" s="8" t="n">
        <f aca="false">H758*I758*(1-J758)</f>
        <v>1350</v>
      </c>
      <c r="L758" s="6" t="n">
        <f aca="false">H758*INDEX(Products!$E$2:$E$9,MATCH(E758,Products!$A$2:$A$9,0))</f>
        <v>930</v>
      </c>
      <c r="M758" s="8" t="n">
        <f aca="false">K758-L758</f>
        <v>420</v>
      </c>
      <c r="N758" s="2" t="s">
        <v>28</v>
      </c>
      <c r="O758" s="2" t="s">
        <v>72</v>
      </c>
    </row>
    <row r="759" customFormat="false" ht="15" hidden="false" customHeight="false" outlineLevel="0" collapsed="false">
      <c r="A759" s="2" t="s">
        <v>813</v>
      </c>
      <c r="B759" s="3" t="n">
        <v>45978</v>
      </c>
      <c r="C759" s="2" t="s">
        <v>47</v>
      </c>
      <c r="D759" s="2" t="s">
        <v>157</v>
      </c>
      <c r="E759" s="2" t="s">
        <v>49</v>
      </c>
      <c r="F759" s="4" t="str">
        <f aca="false">INDEX(Products!$B$2:$B$9,MATCH(E759,Products!$A$2:$A$9,0))</f>
        <v>Mounting Kit</v>
      </c>
      <c r="G759" s="4" t="str">
        <f aca="false">INDEX(Products!$C$2:$C$9,MATCH(E759,Products!$A$2:$A$9,0))</f>
        <v>Accessories</v>
      </c>
      <c r="H759" s="5" t="n">
        <v>1</v>
      </c>
      <c r="I759" s="6" t="n">
        <f aca="false">INDEX(Products!$D$2:$D$9,MATCH(E759,Products!$A$2:$A$9,0))</f>
        <v>39</v>
      </c>
      <c r="J759" s="7" t="n">
        <v>0.2</v>
      </c>
      <c r="K759" s="8" t="n">
        <f aca="false">H759*I759*(1-J759)</f>
        <v>31.2</v>
      </c>
      <c r="L759" s="6" t="n">
        <f aca="false">H759*INDEX(Products!$E$2:$E$9,MATCH(E759,Products!$A$2:$A$9,0))</f>
        <v>31.5</v>
      </c>
      <c r="M759" s="8" t="n">
        <f aca="false">K759-L759</f>
        <v>-0.299999999999997</v>
      </c>
      <c r="N759" s="2" t="s">
        <v>19</v>
      </c>
      <c r="O759" s="2" t="s">
        <v>72</v>
      </c>
    </row>
    <row r="760" customFormat="false" ht="15" hidden="false" customHeight="false" outlineLevel="0" collapsed="false">
      <c r="A760" s="2" t="s">
        <v>814</v>
      </c>
      <c r="B760" s="3" t="n">
        <v>45979</v>
      </c>
      <c r="C760" s="2" t="s">
        <v>41</v>
      </c>
      <c r="D760" s="2" t="s">
        <v>66</v>
      </c>
      <c r="E760" s="2" t="s">
        <v>18</v>
      </c>
      <c r="F760" s="4" t="str">
        <f aca="false">INDEX(Products!$B$2:$B$9,MATCH(E760,Products!$A$2:$A$9,0))</f>
        <v>Sensor Hub Pro</v>
      </c>
      <c r="G760" s="4" t="str">
        <f aca="false">INDEX(Products!$C$2:$C$9,MATCH(E760,Products!$A$2:$A$9,0))</f>
        <v>Hardware</v>
      </c>
      <c r="H760" s="5" t="n">
        <v>2</v>
      </c>
      <c r="I760" s="6" t="n">
        <f aca="false">INDEX(Products!$D$2:$D$9,MATCH(E760,Products!$A$2:$A$9,0))</f>
        <v>349</v>
      </c>
      <c r="J760" s="7" t="n">
        <v>0</v>
      </c>
      <c r="K760" s="8" t="n">
        <f aca="false">H760*I760*(1-J760)</f>
        <v>698</v>
      </c>
      <c r="L760" s="6" t="n">
        <f aca="false">H760*INDEX(Products!$E$2:$E$9,MATCH(E760,Products!$A$2:$A$9,0))</f>
        <v>402</v>
      </c>
      <c r="M760" s="8" t="n">
        <f aca="false">K760-L760</f>
        <v>296</v>
      </c>
      <c r="N760" s="2" t="s">
        <v>28</v>
      </c>
      <c r="O760" s="2" t="s">
        <v>52</v>
      </c>
    </row>
    <row r="761" customFormat="false" ht="15" hidden="false" customHeight="false" outlineLevel="0" collapsed="false">
      <c r="A761" s="2" t="s">
        <v>815</v>
      </c>
      <c r="B761" s="3" t="n">
        <v>45979</v>
      </c>
      <c r="C761" s="2" t="s">
        <v>47</v>
      </c>
      <c r="D761" s="2" t="s">
        <v>48</v>
      </c>
      <c r="E761" s="2" t="s">
        <v>61</v>
      </c>
      <c r="F761" s="4" t="str">
        <f aca="false">INDEX(Products!$B$2:$B$9,MATCH(E761,Products!$A$2:$A$9,0))</f>
        <v>Install Service</v>
      </c>
      <c r="G761" s="4" t="str">
        <f aca="false">INDEX(Products!$C$2:$C$9,MATCH(E761,Products!$A$2:$A$9,0))</f>
        <v>Services</v>
      </c>
      <c r="H761" s="5" t="n">
        <v>5</v>
      </c>
      <c r="I761" s="6" t="n">
        <f aca="false">INDEX(Products!$D$2:$D$9,MATCH(E761,Products!$A$2:$A$9,0))</f>
        <v>450</v>
      </c>
      <c r="J761" s="7" t="n">
        <v>0</v>
      </c>
      <c r="K761" s="8" t="n">
        <f aca="false">H761*I761*(1-J761)</f>
        <v>2250</v>
      </c>
      <c r="L761" s="6" t="n">
        <f aca="false">H761*INDEX(Products!$E$2:$E$9,MATCH(E761,Products!$A$2:$A$9,0))</f>
        <v>1550</v>
      </c>
      <c r="M761" s="8" t="n">
        <f aca="false">K761-L761</f>
        <v>700</v>
      </c>
      <c r="N761" s="2" t="s">
        <v>28</v>
      </c>
      <c r="O761" s="2" t="s">
        <v>50</v>
      </c>
    </row>
    <row r="762" customFormat="false" ht="15" hidden="false" customHeight="false" outlineLevel="0" collapsed="false">
      <c r="A762" s="2" t="s">
        <v>816</v>
      </c>
      <c r="B762" s="3" t="n">
        <v>45980</v>
      </c>
      <c r="C762" s="2" t="s">
        <v>47</v>
      </c>
      <c r="D762" s="2" t="s">
        <v>157</v>
      </c>
      <c r="E762" s="2" t="s">
        <v>23</v>
      </c>
      <c r="F762" s="4" t="str">
        <f aca="false">INDEX(Products!$B$2:$B$9,MATCH(E762,Products!$A$2:$A$9,0))</f>
        <v>Sensor Hub S</v>
      </c>
      <c r="G762" s="4" t="str">
        <f aca="false">INDEX(Products!$C$2:$C$9,MATCH(E762,Products!$A$2:$A$9,0))</f>
        <v>Hardware</v>
      </c>
      <c r="H762" s="5" t="n">
        <v>10</v>
      </c>
      <c r="I762" s="6" t="n">
        <f aca="false">INDEX(Products!$D$2:$D$9,MATCH(E762,Products!$A$2:$A$9,0))</f>
        <v>189</v>
      </c>
      <c r="J762" s="7" t="n">
        <v>0</v>
      </c>
      <c r="K762" s="8" t="n">
        <f aca="false">H762*I762*(1-J762)</f>
        <v>1890</v>
      </c>
      <c r="L762" s="6" t="n">
        <f aca="false">H762*INDEX(Products!$E$2:$E$9,MATCH(E762,Products!$A$2:$A$9,0))</f>
        <v>980</v>
      </c>
      <c r="M762" s="8" t="n">
        <f aca="false">K762-L762</f>
        <v>910</v>
      </c>
      <c r="N762" s="2" t="s">
        <v>28</v>
      </c>
      <c r="O762" s="2" t="s">
        <v>72</v>
      </c>
    </row>
    <row r="763" customFormat="false" ht="15" hidden="false" customHeight="false" outlineLevel="0" collapsed="false">
      <c r="A763" s="2" t="s">
        <v>817</v>
      </c>
      <c r="B763" s="3" t="n">
        <v>45980</v>
      </c>
      <c r="C763" s="2" t="s">
        <v>59</v>
      </c>
      <c r="D763" s="2" t="s">
        <v>91</v>
      </c>
      <c r="E763" s="2" t="s">
        <v>68</v>
      </c>
      <c r="F763" s="4" t="str">
        <f aca="false">INDEX(Products!$B$2:$B$9,MATCH(E763,Products!$A$2:$A$9,0))</f>
        <v>Premium Support</v>
      </c>
      <c r="G763" s="4" t="str">
        <f aca="false">INDEX(Products!$C$2:$C$9,MATCH(E763,Products!$A$2:$A$9,0))</f>
        <v>Services</v>
      </c>
      <c r="H763" s="5" t="n">
        <v>3</v>
      </c>
      <c r="I763" s="6" t="n">
        <f aca="false">INDEX(Products!$D$2:$D$9,MATCH(E763,Products!$A$2:$A$9,0))</f>
        <v>600</v>
      </c>
      <c r="J763" s="7" t="n">
        <v>0</v>
      </c>
      <c r="K763" s="8" t="n">
        <f aca="false">H763*I763*(1-J763)</f>
        <v>1800</v>
      </c>
      <c r="L763" s="6" t="n">
        <f aca="false">H763*INDEX(Products!$E$2:$E$9,MATCH(E763,Products!$A$2:$A$9,0))</f>
        <v>1185</v>
      </c>
      <c r="M763" s="8" t="n">
        <f aca="false">K763-L763</f>
        <v>615</v>
      </c>
      <c r="N763" s="2" t="s">
        <v>28</v>
      </c>
      <c r="O763" s="2" t="s">
        <v>62</v>
      </c>
    </row>
    <row r="764" customFormat="false" ht="15" hidden="false" customHeight="false" outlineLevel="0" collapsed="false">
      <c r="A764" s="2" t="s">
        <v>818</v>
      </c>
      <c r="B764" s="3" t="n">
        <v>45980</v>
      </c>
      <c r="C764" s="2" t="s">
        <v>47</v>
      </c>
      <c r="D764" s="2" t="s">
        <v>55</v>
      </c>
      <c r="E764" s="2" t="s">
        <v>23</v>
      </c>
      <c r="F764" s="4" t="str">
        <f aca="false">INDEX(Products!$B$2:$B$9,MATCH(E764,Products!$A$2:$A$9,0))</f>
        <v>Sensor Hub S</v>
      </c>
      <c r="G764" s="4" t="str">
        <f aca="false">INDEX(Products!$C$2:$C$9,MATCH(E764,Products!$A$2:$A$9,0))</f>
        <v>Hardware</v>
      </c>
      <c r="H764" s="5" t="n">
        <v>1</v>
      </c>
      <c r="I764" s="6" t="n">
        <f aca="false">INDEX(Products!$D$2:$D$9,MATCH(E764,Products!$A$2:$A$9,0))</f>
        <v>189</v>
      </c>
      <c r="J764" s="7" t="n">
        <v>0.1</v>
      </c>
      <c r="K764" s="8" t="n">
        <f aca="false">H764*I764*(1-J764)</f>
        <v>170.1</v>
      </c>
      <c r="L764" s="6" t="n">
        <f aca="false">H764*INDEX(Products!$E$2:$E$9,MATCH(E764,Products!$A$2:$A$9,0))</f>
        <v>98</v>
      </c>
      <c r="M764" s="8" t="n">
        <f aca="false">K764-L764</f>
        <v>72.1</v>
      </c>
      <c r="N764" s="2" t="s">
        <v>28</v>
      </c>
      <c r="O764" s="2" t="s">
        <v>72</v>
      </c>
    </row>
    <row r="765" customFormat="false" ht="15" hidden="false" customHeight="false" outlineLevel="0" collapsed="false">
      <c r="A765" s="2" t="s">
        <v>819</v>
      </c>
      <c r="B765" s="3" t="n">
        <v>45980</v>
      </c>
      <c r="C765" s="2" t="s">
        <v>47</v>
      </c>
      <c r="D765" s="2" t="s">
        <v>71</v>
      </c>
      <c r="E765" s="2" t="s">
        <v>23</v>
      </c>
      <c r="F765" s="4" t="str">
        <f aca="false">INDEX(Products!$B$2:$B$9,MATCH(E765,Products!$A$2:$A$9,0))</f>
        <v>Sensor Hub S</v>
      </c>
      <c r="G765" s="4" t="str">
        <f aca="false">INDEX(Products!$C$2:$C$9,MATCH(E765,Products!$A$2:$A$9,0))</f>
        <v>Hardware</v>
      </c>
      <c r="H765" s="5" t="n">
        <v>5</v>
      </c>
      <c r="I765" s="6" t="n">
        <f aca="false">INDEX(Products!$D$2:$D$9,MATCH(E765,Products!$A$2:$A$9,0))</f>
        <v>189</v>
      </c>
      <c r="J765" s="7" t="n">
        <v>0.05</v>
      </c>
      <c r="K765" s="8" t="n">
        <f aca="false">H765*I765*(1-J765)</f>
        <v>897.75</v>
      </c>
      <c r="L765" s="6" t="n">
        <f aca="false">H765*INDEX(Products!$E$2:$E$9,MATCH(E765,Products!$A$2:$A$9,0))</f>
        <v>490</v>
      </c>
      <c r="M765" s="8" t="n">
        <f aca="false">K765-L765</f>
        <v>407.75</v>
      </c>
      <c r="N765" s="2" t="s">
        <v>28</v>
      </c>
      <c r="O765" s="2" t="s">
        <v>50</v>
      </c>
    </row>
    <row r="766" customFormat="false" ht="15" hidden="false" customHeight="false" outlineLevel="0" collapsed="false">
      <c r="A766" s="2" t="s">
        <v>820</v>
      </c>
      <c r="B766" s="3" t="n">
        <v>45980</v>
      </c>
      <c r="C766" s="2" t="s">
        <v>47</v>
      </c>
      <c r="D766" s="2" t="s">
        <v>55</v>
      </c>
      <c r="E766" s="2" t="s">
        <v>68</v>
      </c>
      <c r="F766" s="4" t="str">
        <f aca="false">INDEX(Products!$B$2:$B$9,MATCH(E766,Products!$A$2:$A$9,0))</f>
        <v>Premium Support</v>
      </c>
      <c r="G766" s="4" t="str">
        <f aca="false">INDEX(Products!$C$2:$C$9,MATCH(E766,Products!$A$2:$A$9,0))</f>
        <v>Services</v>
      </c>
      <c r="H766" s="5" t="n">
        <v>5</v>
      </c>
      <c r="I766" s="6" t="n">
        <f aca="false">INDEX(Products!$D$2:$D$9,MATCH(E766,Products!$A$2:$A$9,0))</f>
        <v>600</v>
      </c>
      <c r="J766" s="7" t="n">
        <v>0.25</v>
      </c>
      <c r="K766" s="8" t="n">
        <f aca="false">H766*I766*(1-J766)</f>
        <v>2250</v>
      </c>
      <c r="L766" s="6" t="n">
        <f aca="false">H766*INDEX(Products!$E$2:$E$9,MATCH(E766,Products!$A$2:$A$9,0))</f>
        <v>1975</v>
      </c>
      <c r="M766" s="8" t="n">
        <f aca="false">K766-L766</f>
        <v>275</v>
      </c>
      <c r="N766" s="2" t="s">
        <v>19</v>
      </c>
      <c r="O766" s="2" t="s">
        <v>50</v>
      </c>
    </row>
    <row r="767" customFormat="false" ht="15" hidden="false" customHeight="false" outlineLevel="0" collapsed="false">
      <c r="A767" s="2" t="s">
        <v>821</v>
      </c>
      <c r="B767" s="3" t="n">
        <v>45980</v>
      </c>
      <c r="C767" s="2" t="s">
        <v>41</v>
      </c>
      <c r="D767" s="2" t="s">
        <v>66</v>
      </c>
      <c r="E767" s="2" t="s">
        <v>23</v>
      </c>
      <c r="F767" s="4" t="str">
        <f aca="false">INDEX(Products!$B$2:$B$9,MATCH(E767,Products!$A$2:$A$9,0))</f>
        <v>Sensor Hub S</v>
      </c>
      <c r="G767" s="4" t="str">
        <f aca="false">INDEX(Products!$C$2:$C$9,MATCH(E767,Products!$A$2:$A$9,0))</f>
        <v>Hardware</v>
      </c>
      <c r="H767" s="5" t="n">
        <v>8</v>
      </c>
      <c r="I767" s="6" t="n">
        <f aca="false">INDEX(Products!$D$2:$D$9,MATCH(E767,Products!$A$2:$A$9,0))</f>
        <v>189</v>
      </c>
      <c r="J767" s="7" t="n">
        <v>0</v>
      </c>
      <c r="K767" s="8" t="n">
        <f aca="false">H767*I767*(1-J767)</f>
        <v>1512</v>
      </c>
      <c r="L767" s="6" t="n">
        <f aca="false">H767*INDEX(Products!$E$2:$E$9,MATCH(E767,Products!$A$2:$A$9,0))</f>
        <v>784</v>
      </c>
      <c r="M767" s="8" t="n">
        <f aca="false">K767-L767</f>
        <v>728</v>
      </c>
      <c r="N767" s="2" t="s">
        <v>28</v>
      </c>
      <c r="O767" s="2" t="s">
        <v>52</v>
      </c>
    </row>
    <row r="768" customFormat="false" ht="15" hidden="false" customHeight="false" outlineLevel="0" collapsed="false">
      <c r="A768" s="2" t="s">
        <v>822</v>
      </c>
      <c r="B768" s="3" t="n">
        <v>45981</v>
      </c>
      <c r="C768" s="2" t="s">
        <v>16</v>
      </c>
      <c r="D768" s="2" t="s">
        <v>25</v>
      </c>
      <c r="E768" s="2" t="s">
        <v>18</v>
      </c>
      <c r="F768" s="4" t="str">
        <f aca="false">INDEX(Products!$B$2:$B$9,MATCH(E768,Products!$A$2:$A$9,0))</f>
        <v>Sensor Hub Pro</v>
      </c>
      <c r="G768" s="4" t="str">
        <f aca="false">INDEX(Products!$C$2:$C$9,MATCH(E768,Products!$A$2:$A$9,0))</f>
        <v>Hardware</v>
      </c>
      <c r="H768" s="5" t="n">
        <v>12</v>
      </c>
      <c r="I768" s="6" t="n">
        <f aca="false">INDEX(Products!$D$2:$D$9,MATCH(E768,Products!$A$2:$A$9,0))</f>
        <v>349</v>
      </c>
      <c r="J768" s="7" t="n">
        <v>0</v>
      </c>
      <c r="K768" s="8" t="n">
        <f aca="false">H768*I768*(1-J768)</f>
        <v>4188</v>
      </c>
      <c r="L768" s="6" t="n">
        <f aca="false">H768*INDEX(Products!$E$2:$E$9,MATCH(E768,Products!$A$2:$A$9,0))</f>
        <v>2412</v>
      </c>
      <c r="M768" s="8" t="n">
        <f aca="false">K768-L768</f>
        <v>1776</v>
      </c>
      <c r="N768" s="2" t="s">
        <v>28</v>
      </c>
      <c r="O768" s="2" t="s">
        <v>36</v>
      </c>
    </row>
    <row r="769" customFormat="false" ht="15" hidden="false" customHeight="false" outlineLevel="0" collapsed="false">
      <c r="A769" s="2" t="s">
        <v>823</v>
      </c>
      <c r="B769" s="3" t="n">
        <v>45981</v>
      </c>
      <c r="C769" s="2" t="s">
        <v>41</v>
      </c>
      <c r="D769" s="2" t="s">
        <v>42</v>
      </c>
      <c r="E769" s="2" t="s">
        <v>32</v>
      </c>
      <c r="F769" s="4" t="str">
        <f aca="false">INDEX(Products!$B$2:$B$9,MATCH(E769,Products!$A$2:$A$9,0))</f>
        <v>Analytics Plus</v>
      </c>
      <c r="G769" s="4" t="str">
        <f aca="false">INDEX(Products!$C$2:$C$9,MATCH(E769,Products!$A$2:$A$9,0))</f>
        <v>Software</v>
      </c>
      <c r="H769" s="5" t="n">
        <v>1</v>
      </c>
      <c r="I769" s="6" t="n">
        <f aca="false">INDEX(Products!$D$2:$D$9,MATCH(E769,Products!$A$2:$A$9,0))</f>
        <v>290</v>
      </c>
      <c r="J769" s="7" t="n">
        <v>0</v>
      </c>
      <c r="K769" s="8" t="n">
        <f aca="false">H769*I769*(1-J769)</f>
        <v>290</v>
      </c>
      <c r="L769" s="6" t="n">
        <f aca="false">H769*INDEX(Products!$E$2:$E$9,MATCH(E769,Products!$A$2:$A$9,0))</f>
        <v>41</v>
      </c>
      <c r="M769" s="8" t="n">
        <f aca="false">K769-L769</f>
        <v>249</v>
      </c>
      <c r="N769" s="2" t="s">
        <v>28</v>
      </c>
      <c r="O769" s="2" t="s">
        <v>52</v>
      </c>
    </row>
    <row r="770" customFormat="false" ht="15" hidden="false" customHeight="false" outlineLevel="0" collapsed="false">
      <c r="A770" s="2" t="s">
        <v>824</v>
      </c>
      <c r="B770" s="3" t="n">
        <v>45981</v>
      </c>
      <c r="C770" s="2" t="s">
        <v>16</v>
      </c>
      <c r="D770" s="2" t="s">
        <v>22</v>
      </c>
      <c r="E770" s="2" t="s">
        <v>26</v>
      </c>
      <c r="F770" s="4" t="str">
        <f aca="false">INDEX(Products!$B$2:$B$9,MATCH(E770,Products!$A$2:$A$9,0))</f>
        <v>Analytics Basic</v>
      </c>
      <c r="G770" s="4" t="str">
        <f aca="false">INDEX(Products!$C$2:$C$9,MATCH(E770,Products!$A$2:$A$9,0))</f>
        <v>Software</v>
      </c>
      <c r="H770" s="5" t="n">
        <v>1</v>
      </c>
      <c r="I770" s="6" t="n">
        <f aca="false">INDEX(Products!$D$2:$D$9,MATCH(E770,Products!$A$2:$A$9,0))</f>
        <v>120</v>
      </c>
      <c r="J770" s="7" t="n">
        <v>0</v>
      </c>
      <c r="K770" s="8" t="n">
        <f aca="false">H770*I770*(1-J770)</f>
        <v>120</v>
      </c>
      <c r="L770" s="6" t="n">
        <f aca="false">H770*INDEX(Products!$E$2:$E$9,MATCH(E770,Products!$A$2:$A$9,0))</f>
        <v>18</v>
      </c>
      <c r="M770" s="8" t="n">
        <f aca="false">K770-L770</f>
        <v>102</v>
      </c>
      <c r="N770" s="2" t="s">
        <v>28</v>
      </c>
      <c r="O770" s="2" t="s">
        <v>36</v>
      </c>
    </row>
    <row r="771" customFormat="false" ht="15" hidden="false" customHeight="false" outlineLevel="0" collapsed="false">
      <c r="A771" s="2" t="s">
        <v>825</v>
      </c>
      <c r="B771" s="3" t="n">
        <v>45981</v>
      </c>
      <c r="C771" s="2" t="s">
        <v>47</v>
      </c>
      <c r="D771" s="2" t="s">
        <v>55</v>
      </c>
      <c r="E771" s="2" t="s">
        <v>61</v>
      </c>
      <c r="F771" s="4" t="str">
        <f aca="false">INDEX(Products!$B$2:$B$9,MATCH(E771,Products!$A$2:$A$9,0))</f>
        <v>Install Service</v>
      </c>
      <c r="G771" s="4" t="str">
        <f aca="false">INDEX(Products!$C$2:$C$9,MATCH(E771,Products!$A$2:$A$9,0))</f>
        <v>Services</v>
      </c>
      <c r="H771" s="5" t="n">
        <v>1</v>
      </c>
      <c r="I771" s="6" t="n">
        <f aca="false">INDEX(Products!$D$2:$D$9,MATCH(E771,Products!$A$2:$A$9,0))</f>
        <v>450</v>
      </c>
      <c r="J771" s="7" t="n">
        <v>0.1</v>
      </c>
      <c r="K771" s="8" t="n">
        <f aca="false">H771*I771*(1-J771)</f>
        <v>405</v>
      </c>
      <c r="L771" s="6" t="n">
        <f aca="false">H771*INDEX(Products!$E$2:$E$9,MATCH(E771,Products!$A$2:$A$9,0))</f>
        <v>310</v>
      </c>
      <c r="M771" s="8" t="n">
        <f aca="false">K771-L771</f>
        <v>95</v>
      </c>
      <c r="N771" s="2" t="s">
        <v>28</v>
      </c>
      <c r="O771" s="2" t="s">
        <v>50</v>
      </c>
    </row>
    <row r="772" customFormat="false" ht="15" hidden="false" customHeight="false" outlineLevel="0" collapsed="false">
      <c r="A772" s="2" t="s">
        <v>826</v>
      </c>
      <c r="B772" s="3" t="n">
        <v>45981</v>
      </c>
      <c r="C772" s="2" t="s">
        <v>47</v>
      </c>
      <c r="D772" s="2" t="s">
        <v>48</v>
      </c>
      <c r="E772" s="2" t="s">
        <v>57</v>
      </c>
      <c r="F772" s="4" t="str">
        <f aca="false">INDEX(Products!$B$2:$B$9,MATCH(E772,Products!$A$2:$A$9,0))</f>
        <v>Edge Gateway</v>
      </c>
      <c r="G772" s="4" t="str">
        <f aca="false">INDEX(Products!$C$2:$C$9,MATCH(E772,Products!$A$2:$A$9,0))</f>
        <v>Hardware</v>
      </c>
      <c r="H772" s="5" t="n">
        <v>5</v>
      </c>
      <c r="I772" s="6" t="n">
        <f aca="false">INDEX(Products!$D$2:$D$9,MATCH(E772,Products!$A$2:$A$9,0))</f>
        <v>899</v>
      </c>
      <c r="J772" s="7" t="n">
        <v>0</v>
      </c>
      <c r="K772" s="8" t="n">
        <f aca="false">H772*I772*(1-J772)</f>
        <v>4495</v>
      </c>
      <c r="L772" s="6" t="n">
        <f aca="false">H772*INDEX(Products!$E$2:$E$9,MATCH(E772,Products!$A$2:$A$9,0))</f>
        <v>3060</v>
      </c>
      <c r="M772" s="8" t="n">
        <f aca="false">K772-L772</f>
        <v>1435</v>
      </c>
      <c r="N772" s="2" t="s">
        <v>28</v>
      </c>
      <c r="O772" s="2" t="s">
        <v>50</v>
      </c>
    </row>
    <row r="773" customFormat="false" ht="15" hidden="false" customHeight="false" outlineLevel="0" collapsed="false">
      <c r="A773" s="2" t="s">
        <v>827</v>
      </c>
      <c r="B773" s="3" t="n">
        <v>45981</v>
      </c>
      <c r="C773" s="2" t="s">
        <v>47</v>
      </c>
      <c r="D773" s="2" t="s">
        <v>157</v>
      </c>
      <c r="E773" s="2" t="s">
        <v>57</v>
      </c>
      <c r="F773" s="4" t="str">
        <f aca="false">INDEX(Products!$B$2:$B$9,MATCH(E773,Products!$A$2:$A$9,0))</f>
        <v>Edge Gateway</v>
      </c>
      <c r="G773" s="4" t="str">
        <f aca="false">INDEX(Products!$C$2:$C$9,MATCH(E773,Products!$A$2:$A$9,0))</f>
        <v>Hardware</v>
      </c>
      <c r="H773" s="5" t="n">
        <v>12</v>
      </c>
      <c r="I773" s="6" t="n">
        <f aca="false">INDEX(Products!$D$2:$D$9,MATCH(E773,Products!$A$2:$A$9,0))</f>
        <v>899</v>
      </c>
      <c r="J773" s="7" t="n">
        <v>0.05</v>
      </c>
      <c r="K773" s="8" t="n">
        <f aca="false">H773*I773*(1-J773)</f>
        <v>10248.6</v>
      </c>
      <c r="L773" s="6" t="n">
        <f aca="false">H773*INDEX(Products!$E$2:$E$9,MATCH(E773,Products!$A$2:$A$9,0))</f>
        <v>7344</v>
      </c>
      <c r="M773" s="8" t="n">
        <f aca="false">K773-L773</f>
        <v>2904.6</v>
      </c>
      <c r="N773" s="2" t="s">
        <v>28</v>
      </c>
      <c r="O773" s="2" t="s">
        <v>72</v>
      </c>
    </row>
    <row r="774" customFormat="false" ht="15" hidden="false" customHeight="false" outlineLevel="0" collapsed="false">
      <c r="A774" s="2" t="s">
        <v>828</v>
      </c>
      <c r="B774" s="3" t="n">
        <v>45982</v>
      </c>
      <c r="C774" s="2" t="s">
        <v>41</v>
      </c>
      <c r="D774" s="2" t="s">
        <v>66</v>
      </c>
      <c r="E774" s="2" t="s">
        <v>61</v>
      </c>
      <c r="F774" s="4" t="str">
        <f aca="false">INDEX(Products!$B$2:$B$9,MATCH(E774,Products!$A$2:$A$9,0))</f>
        <v>Install Service</v>
      </c>
      <c r="G774" s="4" t="str">
        <f aca="false">INDEX(Products!$C$2:$C$9,MATCH(E774,Products!$A$2:$A$9,0))</f>
        <v>Services</v>
      </c>
      <c r="H774" s="5" t="n">
        <v>2</v>
      </c>
      <c r="I774" s="6" t="n">
        <f aca="false">INDEX(Products!$D$2:$D$9,MATCH(E774,Products!$A$2:$A$9,0))</f>
        <v>450</v>
      </c>
      <c r="J774" s="7" t="n">
        <v>0.05</v>
      </c>
      <c r="K774" s="8" t="n">
        <f aca="false">H774*I774*(1-J774)</f>
        <v>855</v>
      </c>
      <c r="L774" s="6" t="n">
        <f aca="false">H774*INDEX(Products!$E$2:$E$9,MATCH(E774,Products!$A$2:$A$9,0))</f>
        <v>620</v>
      </c>
      <c r="M774" s="8" t="n">
        <f aca="false">K774-L774</f>
        <v>235</v>
      </c>
      <c r="N774" s="2" t="s">
        <v>28</v>
      </c>
      <c r="O774" s="2" t="s">
        <v>52</v>
      </c>
    </row>
    <row r="775" customFormat="false" ht="15" hidden="false" customHeight="false" outlineLevel="0" collapsed="false">
      <c r="A775" s="2" t="s">
        <v>829</v>
      </c>
      <c r="B775" s="3" t="n">
        <v>45982</v>
      </c>
      <c r="C775" s="2" t="s">
        <v>47</v>
      </c>
      <c r="D775" s="2" t="s">
        <v>55</v>
      </c>
      <c r="E775" s="2" t="s">
        <v>68</v>
      </c>
      <c r="F775" s="4" t="str">
        <f aca="false">INDEX(Products!$B$2:$B$9,MATCH(E775,Products!$A$2:$A$9,0))</f>
        <v>Premium Support</v>
      </c>
      <c r="G775" s="4" t="str">
        <f aca="false">INDEX(Products!$C$2:$C$9,MATCH(E775,Products!$A$2:$A$9,0))</f>
        <v>Services</v>
      </c>
      <c r="H775" s="5" t="n">
        <v>1</v>
      </c>
      <c r="I775" s="6" t="n">
        <f aca="false">INDEX(Products!$D$2:$D$9,MATCH(E775,Products!$A$2:$A$9,0))</f>
        <v>600</v>
      </c>
      <c r="J775" s="7" t="n">
        <v>0.05</v>
      </c>
      <c r="K775" s="8" t="n">
        <f aca="false">H775*I775*(1-J775)</f>
        <v>570</v>
      </c>
      <c r="L775" s="6" t="n">
        <f aca="false">H775*INDEX(Products!$E$2:$E$9,MATCH(E775,Products!$A$2:$A$9,0))</f>
        <v>395</v>
      </c>
      <c r="M775" s="8" t="n">
        <f aca="false">K775-L775</f>
        <v>175</v>
      </c>
      <c r="N775" s="2" t="s">
        <v>28</v>
      </c>
      <c r="O775" s="2" t="s">
        <v>72</v>
      </c>
    </row>
    <row r="776" customFormat="false" ht="15" hidden="false" customHeight="false" outlineLevel="0" collapsed="false">
      <c r="A776" s="2" t="s">
        <v>830</v>
      </c>
      <c r="B776" s="3" t="n">
        <v>45982</v>
      </c>
      <c r="C776" s="2" t="s">
        <v>41</v>
      </c>
      <c r="D776" s="2" t="s">
        <v>42</v>
      </c>
      <c r="E776" s="2" t="s">
        <v>32</v>
      </c>
      <c r="F776" s="4" t="str">
        <f aca="false">INDEX(Products!$B$2:$B$9,MATCH(E776,Products!$A$2:$A$9,0))</f>
        <v>Analytics Plus</v>
      </c>
      <c r="G776" s="4" t="str">
        <f aca="false">INDEX(Products!$C$2:$C$9,MATCH(E776,Products!$A$2:$A$9,0))</f>
        <v>Software</v>
      </c>
      <c r="H776" s="5" t="n">
        <v>2</v>
      </c>
      <c r="I776" s="6" t="n">
        <f aca="false">INDEX(Products!$D$2:$D$9,MATCH(E776,Products!$A$2:$A$9,0))</f>
        <v>290</v>
      </c>
      <c r="J776" s="7" t="n">
        <v>0.1</v>
      </c>
      <c r="K776" s="8" t="n">
        <f aca="false">H776*I776*(1-J776)</f>
        <v>522</v>
      </c>
      <c r="L776" s="6" t="n">
        <f aca="false">H776*INDEX(Products!$E$2:$E$9,MATCH(E776,Products!$A$2:$A$9,0))</f>
        <v>82</v>
      </c>
      <c r="M776" s="8" t="n">
        <f aca="false">K776-L776</f>
        <v>440</v>
      </c>
      <c r="N776" s="2" t="s">
        <v>28</v>
      </c>
      <c r="O776" s="2" t="s">
        <v>43</v>
      </c>
    </row>
    <row r="777" customFormat="false" ht="15" hidden="false" customHeight="false" outlineLevel="0" collapsed="false">
      <c r="A777" s="2" t="s">
        <v>831</v>
      </c>
      <c r="B777" s="3" t="n">
        <v>45982</v>
      </c>
      <c r="C777" s="2" t="s">
        <v>16</v>
      </c>
      <c r="D777" s="2" t="s">
        <v>17</v>
      </c>
      <c r="E777" s="2" t="s">
        <v>23</v>
      </c>
      <c r="F777" s="4" t="str">
        <f aca="false">INDEX(Products!$B$2:$B$9,MATCH(E777,Products!$A$2:$A$9,0))</f>
        <v>Sensor Hub S</v>
      </c>
      <c r="G777" s="4" t="str">
        <f aca="false">INDEX(Products!$C$2:$C$9,MATCH(E777,Products!$A$2:$A$9,0))</f>
        <v>Hardware</v>
      </c>
      <c r="H777" s="5" t="n">
        <v>12</v>
      </c>
      <c r="I777" s="6" t="n">
        <f aca="false">INDEX(Products!$D$2:$D$9,MATCH(E777,Products!$A$2:$A$9,0))</f>
        <v>189</v>
      </c>
      <c r="J777" s="7" t="n">
        <v>0.1</v>
      </c>
      <c r="K777" s="8" t="n">
        <f aca="false">H777*I777*(1-J777)</f>
        <v>2041.2</v>
      </c>
      <c r="L777" s="6" t="n">
        <f aca="false">H777*INDEX(Products!$E$2:$E$9,MATCH(E777,Products!$A$2:$A$9,0))</f>
        <v>1176</v>
      </c>
      <c r="M777" s="8" t="n">
        <f aca="false">K777-L777</f>
        <v>865.2</v>
      </c>
      <c r="N777" s="2" t="s">
        <v>38</v>
      </c>
      <c r="O777" s="2" t="s">
        <v>36</v>
      </c>
    </row>
    <row r="778" customFormat="false" ht="15" hidden="false" customHeight="false" outlineLevel="0" collapsed="false">
      <c r="A778" s="2" t="s">
        <v>832</v>
      </c>
      <c r="B778" s="3" t="n">
        <v>45982</v>
      </c>
      <c r="C778" s="2" t="s">
        <v>41</v>
      </c>
      <c r="D778" s="2" t="s">
        <v>66</v>
      </c>
      <c r="E778" s="2" t="s">
        <v>26</v>
      </c>
      <c r="F778" s="4" t="str">
        <f aca="false">INDEX(Products!$B$2:$B$9,MATCH(E778,Products!$A$2:$A$9,0))</f>
        <v>Analytics Basic</v>
      </c>
      <c r="G778" s="4" t="str">
        <f aca="false">INDEX(Products!$C$2:$C$9,MATCH(E778,Products!$A$2:$A$9,0))</f>
        <v>Software</v>
      </c>
      <c r="H778" s="5" t="n">
        <v>1</v>
      </c>
      <c r="I778" s="6" t="n">
        <f aca="false">INDEX(Products!$D$2:$D$9,MATCH(E778,Products!$A$2:$A$9,0))</f>
        <v>120</v>
      </c>
      <c r="J778" s="7" t="n">
        <v>0.05</v>
      </c>
      <c r="K778" s="8" t="n">
        <f aca="false">H778*I778*(1-J778)</f>
        <v>114</v>
      </c>
      <c r="L778" s="6" t="n">
        <f aca="false">H778*INDEX(Products!$E$2:$E$9,MATCH(E778,Products!$A$2:$A$9,0))</f>
        <v>18</v>
      </c>
      <c r="M778" s="8" t="n">
        <f aca="false">K778-L778</f>
        <v>96</v>
      </c>
      <c r="N778" s="2" t="s">
        <v>28</v>
      </c>
      <c r="O778" s="2" t="s">
        <v>43</v>
      </c>
    </row>
    <row r="779" customFormat="false" ht="15" hidden="false" customHeight="false" outlineLevel="0" collapsed="false">
      <c r="A779" s="2" t="s">
        <v>833</v>
      </c>
      <c r="B779" s="3" t="n">
        <v>45983</v>
      </c>
      <c r="C779" s="2" t="s">
        <v>30</v>
      </c>
      <c r="D779" s="2" t="s">
        <v>128</v>
      </c>
      <c r="E779" s="2" t="s">
        <v>18</v>
      </c>
      <c r="F779" s="4" t="str">
        <f aca="false">INDEX(Products!$B$2:$B$9,MATCH(E779,Products!$A$2:$A$9,0))</f>
        <v>Sensor Hub Pro</v>
      </c>
      <c r="G779" s="4" t="str">
        <f aca="false">INDEX(Products!$C$2:$C$9,MATCH(E779,Products!$A$2:$A$9,0))</f>
        <v>Hardware</v>
      </c>
      <c r="H779" s="5" t="n">
        <v>20</v>
      </c>
      <c r="I779" s="6" t="n">
        <f aca="false">INDEX(Products!$D$2:$D$9,MATCH(E779,Products!$A$2:$A$9,0))</f>
        <v>349</v>
      </c>
      <c r="J779" s="7" t="n">
        <v>0.05</v>
      </c>
      <c r="K779" s="8" t="n">
        <f aca="false">H779*I779*(1-J779)</f>
        <v>6631</v>
      </c>
      <c r="L779" s="6" t="n">
        <f aca="false">H779*INDEX(Products!$E$2:$E$9,MATCH(E779,Products!$A$2:$A$9,0))</f>
        <v>4020</v>
      </c>
      <c r="M779" s="8" t="n">
        <f aca="false">K779-L779</f>
        <v>2611</v>
      </c>
      <c r="N779" s="2" t="s">
        <v>28</v>
      </c>
      <c r="O779" s="2" t="s">
        <v>33</v>
      </c>
    </row>
    <row r="780" customFormat="false" ht="15" hidden="false" customHeight="false" outlineLevel="0" collapsed="false">
      <c r="A780" s="2" t="s">
        <v>834</v>
      </c>
      <c r="B780" s="3" t="n">
        <v>45985</v>
      </c>
      <c r="C780" s="2" t="s">
        <v>47</v>
      </c>
      <c r="D780" s="2" t="s">
        <v>55</v>
      </c>
      <c r="E780" s="2" t="s">
        <v>68</v>
      </c>
      <c r="F780" s="4" t="str">
        <f aca="false">INDEX(Products!$B$2:$B$9,MATCH(E780,Products!$A$2:$A$9,0))</f>
        <v>Premium Support</v>
      </c>
      <c r="G780" s="4" t="str">
        <f aca="false">INDEX(Products!$C$2:$C$9,MATCH(E780,Products!$A$2:$A$9,0))</f>
        <v>Services</v>
      </c>
      <c r="H780" s="5" t="n">
        <v>1</v>
      </c>
      <c r="I780" s="6" t="n">
        <f aca="false">INDEX(Products!$D$2:$D$9,MATCH(E780,Products!$A$2:$A$9,0))</f>
        <v>600</v>
      </c>
      <c r="J780" s="7" t="n">
        <v>0.05</v>
      </c>
      <c r="K780" s="8" t="n">
        <f aca="false">H780*I780*(1-J780)</f>
        <v>570</v>
      </c>
      <c r="L780" s="6" t="n">
        <f aca="false">H780*INDEX(Products!$E$2:$E$9,MATCH(E780,Products!$A$2:$A$9,0))</f>
        <v>395</v>
      </c>
      <c r="M780" s="8" t="n">
        <f aca="false">K780-L780</f>
        <v>175</v>
      </c>
      <c r="N780" s="2" t="s">
        <v>28</v>
      </c>
      <c r="O780" s="2" t="s">
        <v>72</v>
      </c>
    </row>
    <row r="781" customFormat="false" ht="15" hidden="false" customHeight="false" outlineLevel="0" collapsed="false">
      <c r="A781" s="2" t="s">
        <v>835</v>
      </c>
      <c r="B781" s="3" t="n">
        <v>45985</v>
      </c>
      <c r="C781" s="2" t="s">
        <v>41</v>
      </c>
      <c r="D781" s="2" t="s">
        <v>42</v>
      </c>
      <c r="E781" s="2" t="s">
        <v>68</v>
      </c>
      <c r="F781" s="4" t="str">
        <f aca="false">INDEX(Products!$B$2:$B$9,MATCH(E781,Products!$A$2:$A$9,0))</f>
        <v>Premium Support</v>
      </c>
      <c r="G781" s="4" t="str">
        <f aca="false">INDEX(Products!$C$2:$C$9,MATCH(E781,Products!$A$2:$A$9,0))</f>
        <v>Services</v>
      </c>
      <c r="H781" s="5" t="n">
        <v>1</v>
      </c>
      <c r="I781" s="6" t="n">
        <f aca="false">INDEX(Products!$D$2:$D$9,MATCH(E781,Products!$A$2:$A$9,0))</f>
        <v>600</v>
      </c>
      <c r="J781" s="7" t="n">
        <v>0</v>
      </c>
      <c r="K781" s="8" t="n">
        <f aca="false">H781*I781*(1-J781)</f>
        <v>600</v>
      </c>
      <c r="L781" s="6" t="n">
        <f aca="false">H781*INDEX(Products!$E$2:$E$9,MATCH(E781,Products!$A$2:$A$9,0))</f>
        <v>395</v>
      </c>
      <c r="M781" s="8" t="n">
        <f aca="false">K781-L781</f>
        <v>205</v>
      </c>
      <c r="N781" s="2" t="s">
        <v>28</v>
      </c>
      <c r="O781" s="2" t="s">
        <v>43</v>
      </c>
    </row>
    <row r="782" customFormat="false" ht="15" hidden="false" customHeight="false" outlineLevel="0" collapsed="false">
      <c r="A782" s="2" t="s">
        <v>836</v>
      </c>
      <c r="B782" s="3" t="n">
        <v>45985</v>
      </c>
      <c r="C782" s="2" t="s">
        <v>47</v>
      </c>
      <c r="D782" s="2" t="s">
        <v>71</v>
      </c>
      <c r="E782" s="2" t="s">
        <v>32</v>
      </c>
      <c r="F782" s="4" t="str">
        <f aca="false">INDEX(Products!$B$2:$B$9,MATCH(E782,Products!$A$2:$A$9,0))</f>
        <v>Analytics Plus</v>
      </c>
      <c r="G782" s="4" t="str">
        <f aca="false">INDEX(Products!$C$2:$C$9,MATCH(E782,Products!$A$2:$A$9,0))</f>
        <v>Software</v>
      </c>
      <c r="H782" s="5" t="n">
        <v>5</v>
      </c>
      <c r="I782" s="6" t="n">
        <f aca="false">INDEX(Products!$D$2:$D$9,MATCH(E782,Products!$A$2:$A$9,0))</f>
        <v>290</v>
      </c>
      <c r="J782" s="7" t="n">
        <v>0.05</v>
      </c>
      <c r="K782" s="8" t="n">
        <f aca="false">H782*I782*(1-J782)</f>
        <v>1377.5</v>
      </c>
      <c r="L782" s="6" t="n">
        <f aca="false">H782*INDEX(Products!$E$2:$E$9,MATCH(E782,Products!$A$2:$A$9,0))</f>
        <v>205</v>
      </c>
      <c r="M782" s="8" t="n">
        <f aca="false">K782-L782</f>
        <v>1172.5</v>
      </c>
      <c r="N782" s="2" t="s">
        <v>28</v>
      </c>
      <c r="O782" s="2" t="s">
        <v>50</v>
      </c>
    </row>
    <row r="783" customFormat="false" ht="15" hidden="false" customHeight="false" outlineLevel="0" collapsed="false">
      <c r="A783" s="2" t="s">
        <v>837</v>
      </c>
      <c r="B783" s="3" t="n">
        <v>45985</v>
      </c>
      <c r="C783" s="2" t="s">
        <v>47</v>
      </c>
      <c r="D783" s="2" t="s">
        <v>71</v>
      </c>
      <c r="E783" s="2" t="s">
        <v>18</v>
      </c>
      <c r="F783" s="4" t="str">
        <f aca="false">INDEX(Products!$B$2:$B$9,MATCH(E783,Products!$A$2:$A$9,0))</f>
        <v>Sensor Hub Pro</v>
      </c>
      <c r="G783" s="4" t="str">
        <f aca="false">INDEX(Products!$C$2:$C$9,MATCH(E783,Products!$A$2:$A$9,0))</f>
        <v>Hardware</v>
      </c>
      <c r="H783" s="5" t="n">
        <v>2</v>
      </c>
      <c r="I783" s="6" t="n">
        <f aca="false">INDEX(Products!$D$2:$D$9,MATCH(E783,Products!$A$2:$A$9,0))</f>
        <v>349</v>
      </c>
      <c r="J783" s="7" t="n">
        <v>0</v>
      </c>
      <c r="K783" s="8" t="n">
        <f aca="false">H783*I783*(1-J783)</f>
        <v>698</v>
      </c>
      <c r="L783" s="6" t="n">
        <f aca="false">H783*INDEX(Products!$E$2:$E$9,MATCH(E783,Products!$A$2:$A$9,0))</f>
        <v>402</v>
      </c>
      <c r="M783" s="8" t="n">
        <f aca="false">K783-L783</f>
        <v>296</v>
      </c>
      <c r="N783" s="2" t="s">
        <v>28</v>
      </c>
      <c r="O783" s="2" t="s">
        <v>50</v>
      </c>
    </row>
    <row r="784" customFormat="false" ht="15" hidden="false" customHeight="false" outlineLevel="0" collapsed="false">
      <c r="A784" s="2" t="s">
        <v>838</v>
      </c>
      <c r="B784" s="3" t="n">
        <v>45986</v>
      </c>
      <c r="C784" s="2" t="s">
        <v>59</v>
      </c>
      <c r="D784" s="2" t="s">
        <v>101</v>
      </c>
      <c r="E784" s="2" t="s">
        <v>32</v>
      </c>
      <c r="F784" s="4" t="str">
        <f aca="false">INDEX(Products!$B$2:$B$9,MATCH(E784,Products!$A$2:$A$9,0))</f>
        <v>Analytics Plus</v>
      </c>
      <c r="G784" s="4" t="str">
        <f aca="false">INDEX(Products!$C$2:$C$9,MATCH(E784,Products!$A$2:$A$9,0))</f>
        <v>Software</v>
      </c>
      <c r="H784" s="5" t="n">
        <v>1</v>
      </c>
      <c r="I784" s="6" t="n">
        <f aca="false">INDEX(Products!$D$2:$D$9,MATCH(E784,Products!$A$2:$A$9,0))</f>
        <v>290</v>
      </c>
      <c r="J784" s="7" t="n">
        <v>0.1</v>
      </c>
      <c r="K784" s="8" t="n">
        <f aca="false">H784*I784*(1-J784)</f>
        <v>261</v>
      </c>
      <c r="L784" s="6" t="n">
        <f aca="false">H784*INDEX(Products!$E$2:$E$9,MATCH(E784,Products!$A$2:$A$9,0))</f>
        <v>41</v>
      </c>
      <c r="M784" s="8" t="n">
        <f aca="false">K784-L784</f>
        <v>220</v>
      </c>
      <c r="N784" s="2" t="s">
        <v>28</v>
      </c>
      <c r="O784" s="2" t="s">
        <v>62</v>
      </c>
    </row>
    <row r="785" customFormat="false" ht="15" hidden="false" customHeight="false" outlineLevel="0" collapsed="false">
      <c r="A785" s="2" t="s">
        <v>839</v>
      </c>
      <c r="B785" s="3" t="n">
        <v>45986</v>
      </c>
      <c r="C785" s="2" t="s">
        <v>41</v>
      </c>
      <c r="D785" s="2" t="s">
        <v>42</v>
      </c>
      <c r="E785" s="2" t="s">
        <v>26</v>
      </c>
      <c r="F785" s="4" t="str">
        <f aca="false">INDEX(Products!$B$2:$B$9,MATCH(E785,Products!$A$2:$A$9,0))</f>
        <v>Analytics Basic</v>
      </c>
      <c r="G785" s="4" t="str">
        <f aca="false">INDEX(Products!$C$2:$C$9,MATCH(E785,Products!$A$2:$A$9,0))</f>
        <v>Software</v>
      </c>
      <c r="H785" s="5" t="n">
        <v>2</v>
      </c>
      <c r="I785" s="6" t="n">
        <f aca="false">INDEX(Products!$D$2:$D$9,MATCH(E785,Products!$A$2:$A$9,0))</f>
        <v>120</v>
      </c>
      <c r="J785" s="7" t="n">
        <v>0</v>
      </c>
      <c r="K785" s="8" t="n">
        <f aca="false">H785*I785*(1-J785)</f>
        <v>240</v>
      </c>
      <c r="L785" s="6" t="n">
        <f aca="false">H785*INDEX(Products!$E$2:$E$9,MATCH(E785,Products!$A$2:$A$9,0))</f>
        <v>36</v>
      </c>
      <c r="M785" s="8" t="n">
        <f aca="false">K785-L785</f>
        <v>204</v>
      </c>
      <c r="N785" s="2" t="s">
        <v>38</v>
      </c>
      <c r="O785" s="2" t="s">
        <v>43</v>
      </c>
    </row>
    <row r="786" customFormat="false" ht="15" hidden="false" customHeight="false" outlineLevel="0" collapsed="false">
      <c r="A786" s="2" t="s">
        <v>840</v>
      </c>
      <c r="B786" s="3" t="n">
        <v>45986</v>
      </c>
      <c r="C786" s="2" t="s">
        <v>41</v>
      </c>
      <c r="D786" s="2" t="s">
        <v>66</v>
      </c>
      <c r="E786" s="2" t="s">
        <v>26</v>
      </c>
      <c r="F786" s="4" t="str">
        <f aca="false">INDEX(Products!$B$2:$B$9,MATCH(E786,Products!$A$2:$A$9,0))</f>
        <v>Analytics Basic</v>
      </c>
      <c r="G786" s="4" t="str">
        <f aca="false">INDEX(Products!$C$2:$C$9,MATCH(E786,Products!$A$2:$A$9,0))</f>
        <v>Software</v>
      </c>
      <c r="H786" s="5" t="n">
        <v>2</v>
      </c>
      <c r="I786" s="6" t="n">
        <f aca="false">INDEX(Products!$D$2:$D$9,MATCH(E786,Products!$A$2:$A$9,0))</f>
        <v>120</v>
      </c>
      <c r="J786" s="7" t="n">
        <v>0.1</v>
      </c>
      <c r="K786" s="8" t="n">
        <f aca="false">H786*I786*(1-J786)</f>
        <v>216</v>
      </c>
      <c r="L786" s="6" t="n">
        <f aca="false">H786*INDEX(Products!$E$2:$E$9,MATCH(E786,Products!$A$2:$A$9,0))</f>
        <v>36</v>
      </c>
      <c r="M786" s="8" t="n">
        <f aca="false">K786-L786</f>
        <v>180</v>
      </c>
      <c r="N786" s="2" t="s">
        <v>38</v>
      </c>
      <c r="O786" s="2" t="s">
        <v>43</v>
      </c>
    </row>
    <row r="787" customFormat="false" ht="15" hidden="false" customHeight="false" outlineLevel="0" collapsed="false">
      <c r="A787" s="2" t="s">
        <v>841</v>
      </c>
      <c r="B787" s="3" t="n">
        <v>45986</v>
      </c>
      <c r="C787" s="2" t="s">
        <v>47</v>
      </c>
      <c r="D787" s="2" t="s">
        <v>48</v>
      </c>
      <c r="E787" s="2" t="s">
        <v>26</v>
      </c>
      <c r="F787" s="4" t="str">
        <f aca="false">INDEX(Products!$B$2:$B$9,MATCH(E787,Products!$A$2:$A$9,0))</f>
        <v>Analytics Basic</v>
      </c>
      <c r="G787" s="4" t="str">
        <f aca="false">INDEX(Products!$C$2:$C$9,MATCH(E787,Products!$A$2:$A$9,0))</f>
        <v>Software</v>
      </c>
      <c r="H787" s="5" t="n">
        <v>2</v>
      </c>
      <c r="I787" s="6" t="n">
        <f aca="false">INDEX(Products!$D$2:$D$9,MATCH(E787,Products!$A$2:$A$9,0))</f>
        <v>120</v>
      </c>
      <c r="J787" s="7" t="n">
        <v>0</v>
      </c>
      <c r="K787" s="8" t="n">
        <f aca="false">H787*I787*(1-J787)</f>
        <v>240</v>
      </c>
      <c r="L787" s="6" t="n">
        <f aca="false">H787*INDEX(Products!$E$2:$E$9,MATCH(E787,Products!$A$2:$A$9,0))</f>
        <v>36</v>
      </c>
      <c r="M787" s="8" t="n">
        <f aca="false">K787-L787</f>
        <v>204</v>
      </c>
      <c r="N787" s="2" t="s">
        <v>28</v>
      </c>
      <c r="O787" s="2" t="s">
        <v>50</v>
      </c>
    </row>
    <row r="788" customFormat="false" ht="15" hidden="false" customHeight="false" outlineLevel="0" collapsed="false">
      <c r="A788" s="2" t="s">
        <v>842</v>
      </c>
      <c r="B788" s="3" t="n">
        <v>45986</v>
      </c>
      <c r="C788" s="2" t="s">
        <v>41</v>
      </c>
      <c r="D788" s="2" t="s">
        <v>66</v>
      </c>
      <c r="E788" s="2" t="s">
        <v>26</v>
      </c>
      <c r="F788" s="4" t="str">
        <f aca="false">INDEX(Products!$B$2:$B$9,MATCH(E788,Products!$A$2:$A$9,0))</f>
        <v>Analytics Basic</v>
      </c>
      <c r="G788" s="4" t="str">
        <f aca="false">INDEX(Products!$C$2:$C$9,MATCH(E788,Products!$A$2:$A$9,0))</f>
        <v>Software</v>
      </c>
      <c r="H788" s="5" t="n">
        <v>5</v>
      </c>
      <c r="I788" s="6" t="n">
        <f aca="false">INDEX(Products!$D$2:$D$9,MATCH(E788,Products!$A$2:$A$9,0))</f>
        <v>120</v>
      </c>
      <c r="J788" s="7" t="n">
        <v>0.05</v>
      </c>
      <c r="K788" s="8" t="n">
        <f aca="false">H788*I788*(1-J788)</f>
        <v>570</v>
      </c>
      <c r="L788" s="6" t="n">
        <f aca="false">H788*INDEX(Products!$E$2:$E$9,MATCH(E788,Products!$A$2:$A$9,0))</f>
        <v>90</v>
      </c>
      <c r="M788" s="8" t="n">
        <f aca="false">K788-L788</f>
        <v>480</v>
      </c>
      <c r="N788" s="2" t="s">
        <v>28</v>
      </c>
      <c r="O788" s="2" t="s">
        <v>52</v>
      </c>
    </row>
    <row r="789" customFormat="false" ht="15" hidden="false" customHeight="false" outlineLevel="0" collapsed="false">
      <c r="A789" s="2" t="s">
        <v>843</v>
      </c>
      <c r="B789" s="3" t="n">
        <v>45987</v>
      </c>
      <c r="C789" s="2" t="s">
        <v>59</v>
      </c>
      <c r="D789" s="2" t="s">
        <v>91</v>
      </c>
      <c r="E789" s="2" t="s">
        <v>26</v>
      </c>
      <c r="F789" s="4" t="str">
        <f aca="false">INDEX(Products!$B$2:$B$9,MATCH(E789,Products!$A$2:$A$9,0))</f>
        <v>Analytics Basic</v>
      </c>
      <c r="G789" s="4" t="str">
        <f aca="false">INDEX(Products!$C$2:$C$9,MATCH(E789,Products!$A$2:$A$9,0))</f>
        <v>Software</v>
      </c>
      <c r="H789" s="5" t="n">
        <v>1</v>
      </c>
      <c r="I789" s="6" t="n">
        <f aca="false">INDEX(Products!$D$2:$D$9,MATCH(E789,Products!$A$2:$A$9,0))</f>
        <v>120</v>
      </c>
      <c r="J789" s="7" t="n">
        <v>0.05</v>
      </c>
      <c r="K789" s="8" t="n">
        <f aca="false">H789*I789*(1-J789)</f>
        <v>114</v>
      </c>
      <c r="L789" s="6" t="n">
        <f aca="false">H789*INDEX(Products!$E$2:$E$9,MATCH(E789,Products!$A$2:$A$9,0))</f>
        <v>18</v>
      </c>
      <c r="M789" s="8" t="n">
        <f aca="false">K789-L789</f>
        <v>96</v>
      </c>
      <c r="N789" s="2" t="s">
        <v>38</v>
      </c>
      <c r="O789" s="2" t="s">
        <v>62</v>
      </c>
    </row>
    <row r="790" customFormat="false" ht="15" hidden="false" customHeight="false" outlineLevel="0" collapsed="false">
      <c r="A790" s="2" t="s">
        <v>844</v>
      </c>
      <c r="B790" s="3" t="n">
        <v>45987</v>
      </c>
      <c r="C790" s="2" t="s">
        <v>16</v>
      </c>
      <c r="D790" s="2" t="s">
        <v>35</v>
      </c>
      <c r="E790" s="2" t="s">
        <v>26</v>
      </c>
      <c r="F790" s="4" t="str">
        <f aca="false">INDEX(Products!$B$2:$B$9,MATCH(E790,Products!$A$2:$A$9,0))</f>
        <v>Analytics Basic</v>
      </c>
      <c r="G790" s="4" t="str">
        <f aca="false">INDEX(Products!$C$2:$C$9,MATCH(E790,Products!$A$2:$A$9,0))</f>
        <v>Software</v>
      </c>
      <c r="H790" s="5" t="n">
        <v>5</v>
      </c>
      <c r="I790" s="6" t="n">
        <f aca="false">INDEX(Products!$D$2:$D$9,MATCH(E790,Products!$A$2:$A$9,0))</f>
        <v>120</v>
      </c>
      <c r="J790" s="7" t="n">
        <v>0.1</v>
      </c>
      <c r="K790" s="8" t="n">
        <f aca="false">H790*I790*(1-J790)</f>
        <v>540</v>
      </c>
      <c r="L790" s="6" t="n">
        <f aca="false">H790*INDEX(Products!$E$2:$E$9,MATCH(E790,Products!$A$2:$A$9,0))</f>
        <v>90</v>
      </c>
      <c r="M790" s="8" t="n">
        <f aca="false">K790-L790</f>
        <v>450</v>
      </c>
      <c r="N790" s="2" t="s">
        <v>28</v>
      </c>
      <c r="O790" s="2" t="s">
        <v>20</v>
      </c>
    </row>
    <row r="791" customFormat="false" ht="15" hidden="false" customHeight="false" outlineLevel="0" collapsed="false">
      <c r="A791" s="2" t="s">
        <v>845</v>
      </c>
      <c r="B791" s="3" t="n">
        <v>45987</v>
      </c>
      <c r="C791" s="2" t="s">
        <v>47</v>
      </c>
      <c r="D791" s="2" t="s">
        <v>55</v>
      </c>
      <c r="E791" s="2" t="s">
        <v>26</v>
      </c>
      <c r="F791" s="4" t="str">
        <f aca="false">INDEX(Products!$B$2:$B$9,MATCH(E791,Products!$A$2:$A$9,0))</f>
        <v>Analytics Basic</v>
      </c>
      <c r="G791" s="4" t="str">
        <f aca="false">INDEX(Products!$C$2:$C$9,MATCH(E791,Products!$A$2:$A$9,0))</f>
        <v>Software</v>
      </c>
      <c r="H791" s="5" t="n">
        <v>3</v>
      </c>
      <c r="I791" s="6" t="n">
        <f aca="false">INDEX(Products!$D$2:$D$9,MATCH(E791,Products!$A$2:$A$9,0))</f>
        <v>120</v>
      </c>
      <c r="J791" s="7" t="n">
        <v>0.05</v>
      </c>
      <c r="K791" s="8" t="n">
        <f aca="false">H791*I791*(1-J791)</f>
        <v>342</v>
      </c>
      <c r="L791" s="6" t="n">
        <f aca="false">H791*INDEX(Products!$E$2:$E$9,MATCH(E791,Products!$A$2:$A$9,0))</f>
        <v>54</v>
      </c>
      <c r="M791" s="8" t="n">
        <f aca="false">K791-L791</f>
        <v>288</v>
      </c>
      <c r="N791" s="2" t="s">
        <v>28</v>
      </c>
      <c r="O791" s="2" t="s">
        <v>50</v>
      </c>
    </row>
    <row r="792" customFormat="false" ht="15" hidden="false" customHeight="false" outlineLevel="0" collapsed="false">
      <c r="A792" s="2" t="s">
        <v>846</v>
      </c>
      <c r="B792" s="3" t="n">
        <v>45987</v>
      </c>
      <c r="C792" s="2" t="s">
        <v>41</v>
      </c>
      <c r="D792" s="2" t="s">
        <v>66</v>
      </c>
      <c r="E792" s="2" t="s">
        <v>49</v>
      </c>
      <c r="F792" s="4" t="str">
        <f aca="false">INDEX(Products!$B$2:$B$9,MATCH(E792,Products!$A$2:$A$9,0))</f>
        <v>Mounting Kit</v>
      </c>
      <c r="G792" s="4" t="str">
        <f aca="false">INDEX(Products!$C$2:$C$9,MATCH(E792,Products!$A$2:$A$9,0))</f>
        <v>Accessories</v>
      </c>
      <c r="H792" s="5" t="n">
        <v>10</v>
      </c>
      <c r="I792" s="6" t="n">
        <f aca="false">INDEX(Products!$D$2:$D$9,MATCH(E792,Products!$A$2:$A$9,0))</f>
        <v>39</v>
      </c>
      <c r="J792" s="7" t="n">
        <v>0.15</v>
      </c>
      <c r="K792" s="8" t="n">
        <f aca="false">H792*I792*(1-J792)</f>
        <v>331.5</v>
      </c>
      <c r="L792" s="6" t="n">
        <f aca="false">H792*INDEX(Products!$E$2:$E$9,MATCH(E792,Products!$A$2:$A$9,0))</f>
        <v>315</v>
      </c>
      <c r="M792" s="8" t="n">
        <f aca="false">K792-L792</f>
        <v>16.5</v>
      </c>
      <c r="N792" s="2" t="s">
        <v>19</v>
      </c>
      <c r="O792" s="2" t="s">
        <v>52</v>
      </c>
    </row>
    <row r="793" customFormat="false" ht="15" hidden="false" customHeight="false" outlineLevel="0" collapsed="false">
      <c r="A793" s="2" t="s">
        <v>847</v>
      </c>
      <c r="B793" s="3" t="n">
        <v>45988</v>
      </c>
      <c r="C793" s="2" t="s">
        <v>47</v>
      </c>
      <c r="D793" s="2" t="s">
        <v>157</v>
      </c>
      <c r="E793" s="2" t="s">
        <v>49</v>
      </c>
      <c r="F793" s="4" t="str">
        <f aca="false">INDEX(Products!$B$2:$B$9,MATCH(E793,Products!$A$2:$A$9,0))</f>
        <v>Mounting Kit</v>
      </c>
      <c r="G793" s="4" t="str">
        <f aca="false">INDEX(Products!$C$2:$C$9,MATCH(E793,Products!$A$2:$A$9,0))</f>
        <v>Accessories</v>
      </c>
      <c r="H793" s="5" t="n">
        <v>3</v>
      </c>
      <c r="I793" s="6" t="n">
        <f aca="false">INDEX(Products!$D$2:$D$9,MATCH(E793,Products!$A$2:$A$9,0))</f>
        <v>39</v>
      </c>
      <c r="J793" s="7" t="n">
        <v>0</v>
      </c>
      <c r="K793" s="8" t="n">
        <f aca="false">H793*I793*(1-J793)</f>
        <v>117</v>
      </c>
      <c r="L793" s="6" t="n">
        <f aca="false">H793*INDEX(Products!$E$2:$E$9,MATCH(E793,Products!$A$2:$A$9,0))</f>
        <v>94.5</v>
      </c>
      <c r="M793" s="8" t="n">
        <f aca="false">K793-L793</f>
        <v>22.5</v>
      </c>
      <c r="N793" s="2" t="s">
        <v>28</v>
      </c>
      <c r="O793" s="2" t="s">
        <v>50</v>
      </c>
    </row>
    <row r="794" customFormat="false" ht="15" hidden="false" customHeight="false" outlineLevel="0" collapsed="false">
      <c r="A794" s="2" t="s">
        <v>848</v>
      </c>
      <c r="B794" s="3" t="n">
        <v>45988</v>
      </c>
      <c r="C794" s="2" t="s">
        <v>16</v>
      </c>
      <c r="D794" s="2" t="s">
        <v>35</v>
      </c>
      <c r="E794" s="2" t="s">
        <v>26</v>
      </c>
      <c r="F794" s="4" t="str">
        <f aca="false">INDEX(Products!$B$2:$B$9,MATCH(E794,Products!$A$2:$A$9,0))</f>
        <v>Analytics Basic</v>
      </c>
      <c r="G794" s="4" t="str">
        <f aca="false">INDEX(Products!$C$2:$C$9,MATCH(E794,Products!$A$2:$A$9,0))</f>
        <v>Software</v>
      </c>
      <c r="H794" s="5" t="n">
        <v>1</v>
      </c>
      <c r="I794" s="6" t="n">
        <f aca="false">INDEX(Products!$D$2:$D$9,MATCH(E794,Products!$A$2:$A$9,0))</f>
        <v>120</v>
      </c>
      <c r="J794" s="7" t="n">
        <v>0.2</v>
      </c>
      <c r="K794" s="8" t="n">
        <f aca="false">H794*I794*(1-J794)</f>
        <v>96</v>
      </c>
      <c r="L794" s="6" t="n">
        <f aca="false">H794*INDEX(Products!$E$2:$E$9,MATCH(E794,Products!$A$2:$A$9,0))</f>
        <v>18</v>
      </c>
      <c r="M794" s="8" t="n">
        <f aca="false">K794-L794</f>
        <v>78</v>
      </c>
      <c r="N794" s="2" t="s">
        <v>19</v>
      </c>
      <c r="O794" s="2" t="s">
        <v>36</v>
      </c>
    </row>
    <row r="795" customFormat="false" ht="15" hidden="false" customHeight="false" outlineLevel="0" collapsed="false">
      <c r="A795" s="2" t="s">
        <v>849</v>
      </c>
      <c r="B795" s="3" t="n">
        <v>45988</v>
      </c>
      <c r="C795" s="2" t="s">
        <v>16</v>
      </c>
      <c r="D795" s="2" t="s">
        <v>35</v>
      </c>
      <c r="E795" s="2" t="s">
        <v>23</v>
      </c>
      <c r="F795" s="4" t="str">
        <f aca="false">INDEX(Products!$B$2:$B$9,MATCH(E795,Products!$A$2:$A$9,0))</f>
        <v>Sensor Hub S</v>
      </c>
      <c r="G795" s="4" t="str">
        <f aca="false">INDEX(Products!$C$2:$C$9,MATCH(E795,Products!$A$2:$A$9,0))</f>
        <v>Hardware</v>
      </c>
      <c r="H795" s="5" t="n">
        <v>10</v>
      </c>
      <c r="I795" s="6" t="n">
        <f aca="false">INDEX(Products!$D$2:$D$9,MATCH(E795,Products!$A$2:$A$9,0))</f>
        <v>189</v>
      </c>
      <c r="J795" s="7" t="n">
        <v>0.15</v>
      </c>
      <c r="K795" s="8" t="n">
        <f aca="false">H795*I795*(1-J795)</f>
        <v>1606.5</v>
      </c>
      <c r="L795" s="6" t="n">
        <f aca="false">H795*INDEX(Products!$E$2:$E$9,MATCH(E795,Products!$A$2:$A$9,0))</f>
        <v>980</v>
      </c>
      <c r="M795" s="8" t="n">
        <f aca="false">K795-L795</f>
        <v>626.5</v>
      </c>
      <c r="N795" s="2" t="s">
        <v>28</v>
      </c>
      <c r="O795" s="2" t="s">
        <v>20</v>
      </c>
    </row>
    <row r="796" customFormat="false" ht="15" hidden="false" customHeight="false" outlineLevel="0" collapsed="false">
      <c r="A796" s="2" t="s">
        <v>850</v>
      </c>
      <c r="B796" s="3" t="n">
        <v>45989</v>
      </c>
      <c r="C796" s="2" t="s">
        <v>16</v>
      </c>
      <c r="D796" s="2" t="s">
        <v>22</v>
      </c>
      <c r="E796" s="2" t="s">
        <v>18</v>
      </c>
      <c r="F796" s="4" t="str">
        <f aca="false">INDEX(Products!$B$2:$B$9,MATCH(E796,Products!$A$2:$A$9,0))</f>
        <v>Sensor Hub Pro</v>
      </c>
      <c r="G796" s="4" t="str">
        <f aca="false">INDEX(Products!$C$2:$C$9,MATCH(E796,Products!$A$2:$A$9,0))</f>
        <v>Hardware</v>
      </c>
      <c r="H796" s="5" t="n">
        <v>3</v>
      </c>
      <c r="I796" s="6" t="n">
        <f aca="false">INDEX(Products!$D$2:$D$9,MATCH(E796,Products!$A$2:$A$9,0))</f>
        <v>349</v>
      </c>
      <c r="J796" s="7" t="n">
        <v>0</v>
      </c>
      <c r="K796" s="8" t="n">
        <f aca="false">H796*I796*(1-J796)</f>
        <v>1047</v>
      </c>
      <c r="L796" s="6" t="n">
        <f aca="false">H796*INDEX(Products!$E$2:$E$9,MATCH(E796,Products!$A$2:$A$9,0))</f>
        <v>603</v>
      </c>
      <c r="M796" s="8" t="n">
        <f aca="false">K796-L796</f>
        <v>444</v>
      </c>
      <c r="N796" s="2" t="s">
        <v>28</v>
      </c>
      <c r="O796" s="2" t="s">
        <v>36</v>
      </c>
    </row>
    <row r="797" customFormat="false" ht="15" hidden="false" customHeight="false" outlineLevel="0" collapsed="false">
      <c r="A797" s="2" t="s">
        <v>851</v>
      </c>
      <c r="B797" s="3" t="n">
        <v>45989</v>
      </c>
      <c r="C797" s="2" t="s">
        <v>41</v>
      </c>
      <c r="D797" s="2" t="s">
        <v>42</v>
      </c>
      <c r="E797" s="2" t="s">
        <v>57</v>
      </c>
      <c r="F797" s="4" t="str">
        <f aca="false">INDEX(Products!$B$2:$B$9,MATCH(E797,Products!$A$2:$A$9,0))</f>
        <v>Edge Gateway</v>
      </c>
      <c r="G797" s="4" t="str">
        <f aca="false">INDEX(Products!$C$2:$C$9,MATCH(E797,Products!$A$2:$A$9,0))</f>
        <v>Hardware</v>
      </c>
      <c r="H797" s="5" t="n">
        <v>2</v>
      </c>
      <c r="I797" s="6" t="n">
        <f aca="false">INDEX(Products!$D$2:$D$9,MATCH(E797,Products!$A$2:$A$9,0))</f>
        <v>899</v>
      </c>
      <c r="J797" s="7" t="n">
        <v>0.1</v>
      </c>
      <c r="K797" s="8" t="n">
        <f aca="false">H797*I797*(1-J797)</f>
        <v>1618.2</v>
      </c>
      <c r="L797" s="6" t="n">
        <f aca="false">H797*INDEX(Products!$E$2:$E$9,MATCH(E797,Products!$A$2:$A$9,0))</f>
        <v>1224</v>
      </c>
      <c r="M797" s="8" t="n">
        <f aca="false">K797-L797</f>
        <v>394.2</v>
      </c>
      <c r="N797" s="2" t="s">
        <v>28</v>
      </c>
      <c r="O797" s="2" t="s">
        <v>52</v>
      </c>
    </row>
    <row r="798" customFormat="false" ht="15" hidden="false" customHeight="false" outlineLevel="0" collapsed="false">
      <c r="A798" s="2" t="s">
        <v>852</v>
      </c>
      <c r="B798" s="3" t="n">
        <v>45989</v>
      </c>
      <c r="C798" s="2" t="s">
        <v>16</v>
      </c>
      <c r="D798" s="2" t="s">
        <v>22</v>
      </c>
      <c r="E798" s="2" t="s">
        <v>26</v>
      </c>
      <c r="F798" s="4" t="str">
        <f aca="false">INDEX(Products!$B$2:$B$9,MATCH(E798,Products!$A$2:$A$9,0))</f>
        <v>Analytics Basic</v>
      </c>
      <c r="G798" s="4" t="str">
        <f aca="false">INDEX(Products!$C$2:$C$9,MATCH(E798,Products!$A$2:$A$9,0))</f>
        <v>Software</v>
      </c>
      <c r="H798" s="5" t="n">
        <v>1</v>
      </c>
      <c r="I798" s="6" t="n">
        <f aca="false">INDEX(Products!$D$2:$D$9,MATCH(E798,Products!$A$2:$A$9,0))</f>
        <v>120</v>
      </c>
      <c r="J798" s="7" t="n">
        <v>0</v>
      </c>
      <c r="K798" s="8" t="n">
        <f aca="false">H798*I798*(1-J798)</f>
        <v>120</v>
      </c>
      <c r="L798" s="6" t="n">
        <f aca="false">H798*INDEX(Products!$E$2:$E$9,MATCH(E798,Products!$A$2:$A$9,0))</f>
        <v>18</v>
      </c>
      <c r="M798" s="8" t="n">
        <f aca="false">K798-L798</f>
        <v>102</v>
      </c>
      <c r="N798" s="2" t="s">
        <v>28</v>
      </c>
      <c r="O798" s="2" t="s">
        <v>36</v>
      </c>
    </row>
    <row r="799" customFormat="false" ht="15" hidden="false" customHeight="false" outlineLevel="0" collapsed="false">
      <c r="A799" s="2" t="s">
        <v>853</v>
      </c>
      <c r="B799" s="3" t="n">
        <v>45989</v>
      </c>
      <c r="C799" s="2" t="s">
        <v>30</v>
      </c>
      <c r="D799" s="2" t="s">
        <v>128</v>
      </c>
      <c r="E799" s="2" t="s">
        <v>61</v>
      </c>
      <c r="F799" s="4" t="str">
        <f aca="false">INDEX(Products!$B$2:$B$9,MATCH(E799,Products!$A$2:$A$9,0))</f>
        <v>Install Service</v>
      </c>
      <c r="G799" s="4" t="str">
        <f aca="false">INDEX(Products!$C$2:$C$9,MATCH(E799,Products!$A$2:$A$9,0))</f>
        <v>Services</v>
      </c>
      <c r="H799" s="5" t="n">
        <v>2</v>
      </c>
      <c r="I799" s="6" t="n">
        <f aca="false">INDEX(Products!$D$2:$D$9,MATCH(E799,Products!$A$2:$A$9,0))</f>
        <v>450</v>
      </c>
      <c r="J799" s="7" t="n">
        <v>0.1</v>
      </c>
      <c r="K799" s="8" t="n">
        <f aca="false">H799*I799*(1-J799)</f>
        <v>810</v>
      </c>
      <c r="L799" s="6" t="n">
        <f aca="false">H799*INDEX(Products!$E$2:$E$9,MATCH(E799,Products!$A$2:$A$9,0))</f>
        <v>620</v>
      </c>
      <c r="M799" s="8" t="n">
        <f aca="false">K799-L799</f>
        <v>190</v>
      </c>
      <c r="N799" s="2" t="s">
        <v>19</v>
      </c>
      <c r="O799" s="2" t="s">
        <v>33</v>
      </c>
    </row>
    <row r="800" customFormat="false" ht="15" hidden="false" customHeight="false" outlineLevel="0" collapsed="false">
      <c r="A800" s="2" t="s">
        <v>854</v>
      </c>
      <c r="B800" s="3" t="n">
        <v>45992</v>
      </c>
      <c r="C800" s="2" t="s">
        <v>30</v>
      </c>
      <c r="D800" s="2" t="s">
        <v>77</v>
      </c>
      <c r="E800" s="2" t="s">
        <v>23</v>
      </c>
      <c r="F800" s="4" t="str">
        <f aca="false">INDEX(Products!$B$2:$B$9,MATCH(E800,Products!$A$2:$A$9,0))</f>
        <v>Sensor Hub S</v>
      </c>
      <c r="G800" s="4" t="str">
        <f aca="false">INDEX(Products!$C$2:$C$9,MATCH(E800,Products!$A$2:$A$9,0))</f>
        <v>Hardware</v>
      </c>
      <c r="H800" s="5" t="n">
        <v>8</v>
      </c>
      <c r="I800" s="6" t="n">
        <f aca="false">INDEX(Products!$D$2:$D$9,MATCH(E800,Products!$A$2:$A$9,0))</f>
        <v>189</v>
      </c>
      <c r="J800" s="7" t="n">
        <v>0</v>
      </c>
      <c r="K800" s="8" t="n">
        <f aca="false">H800*I800*(1-J800)</f>
        <v>1512</v>
      </c>
      <c r="L800" s="6" t="n">
        <f aca="false">H800*INDEX(Products!$E$2:$E$9,MATCH(E800,Products!$A$2:$A$9,0))</f>
        <v>784</v>
      </c>
      <c r="M800" s="8" t="n">
        <f aca="false">K800-L800</f>
        <v>728</v>
      </c>
      <c r="N800" s="2" t="s">
        <v>28</v>
      </c>
      <c r="O800" s="2" t="s">
        <v>64</v>
      </c>
    </row>
    <row r="801" customFormat="false" ht="15" hidden="false" customHeight="false" outlineLevel="0" collapsed="false">
      <c r="A801" s="2" t="s">
        <v>855</v>
      </c>
      <c r="B801" s="3" t="n">
        <v>45992</v>
      </c>
      <c r="C801" s="2" t="s">
        <v>47</v>
      </c>
      <c r="D801" s="2" t="s">
        <v>71</v>
      </c>
      <c r="E801" s="2" t="s">
        <v>32</v>
      </c>
      <c r="F801" s="4" t="str">
        <f aca="false">INDEX(Products!$B$2:$B$9,MATCH(E801,Products!$A$2:$A$9,0))</f>
        <v>Analytics Plus</v>
      </c>
      <c r="G801" s="4" t="str">
        <f aca="false">INDEX(Products!$C$2:$C$9,MATCH(E801,Products!$A$2:$A$9,0))</f>
        <v>Software</v>
      </c>
      <c r="H801" s="5" t="n">
        <v>2</v>
      </c>
      <c r="I801" s="6" t="n">
        <f aca="false">INDEX(Products!$D$2:$D$9,MATCH(E801,Products!$A$2:$A$9,0))</f>
        <v>290</v>
      </c>
      <c r="J801" s="7" t="n">
        <v>0.05</v>
      </c>
      <c r="K801" s="8" t="n">
        <f aca="false">H801*I801*(1-J801)</f>
        <v>551</v>
      </c>
      <c r="L801" s="6" t="n">
        <f aca="false">H801*INDEX(Products!$E$2:$E$9,MATCH(E801,Products!$A$2:$A$9,0))</f>
        <v>82</v>
      </c>
      <c r="M801" s="8" t="n">
        <f aca="false">K801-L801</f>
        <v>469</v>
      </c>
      <c r="N801" s="2" t="s">
        <v>28</v>
      </c>
      <c r="O801" s="2" t="s">
        <v>72</v>
      </c>
    </row>
    <row r="802" customFormat="false" ht="15" hidden="false" customHeight="false" outlineLevel="0" collapsed="false">
      <c r="A802" s="2" t="s">
        <v>856</v>
      </c>
      <c r="B802" s="3" t="n">
        <v>45992</v>
      </c>
      <c r="C802" s="2" t="s">
        <v>16</v>
      </c>
      <c r="D802" s="2" t="s">
        <v>17</v>
      </c>
      <c r="E802" s="2" t="s">
        <v>61</v>
      </c>
      <c r="F802" s="4" t="str">
        <f aca="false">INDEX(Products!$B$2:$B$9,MATCH(E802,Products!$A$2:$A$9,0))</f>
        <v>Install Service</v>
      </c>
      <c r="G802" s="4" t="str">
        <f aca="false">INDEX(Products!$C$2:$C$9,MATCH(E802,Products!$A$2:$A$9,0))</f>
        <v>Services</v>
      </c>
      <c r="H802" s="5" t="n">
        <v>2</v>
      </c>
      <c r="I802" s="6" t="n">
        <f aca="false">INDEX(Products!$D$2:$D$9,MATCH(E802,Products!$A$2:$A$9,0))</f>
        <v>450</v>
      </c>
      <c r="J802" s="7" t="n">
        <v>0.15</v>
      </c>
      <c r="K802" s="8" t="n">
        <f aca="false">H802*I802*(1-J802)</f>
        <v>765</v>
      </c>
      <c r="L802" s="6" t="n">
        <f aca="false">H802*INDEX(Products!$E$2:$E$9,MATCH(E802,Products!$A$2:$A$9,0))</f>
        <v>620</v>
      </c>
      <c r="M802" s="8" t="n">
        <f aca="false">K802-L802</f>
        <v>145</v>
      </c>
      <c r="N802" s="2" t="s">
        <v>19</v>
      </c>
      <c r="O802" s="2" t="s">
        <v>36</v>
      </c>
    </row>
    <row r="803" customFormat="false" ht="15" hidden="false" customHeight="false" outlineLevel="0" collapsed="false">
      <c r="A803" s="2" t="s">
        <v>857</v>
      </c>
      <c r="B803" s="3" t="n">
        <v>45992</v>
      </c>
      <c r="C803" s="2" t="s">
        <v>30</v>
      </c>
      <c r="D803" s="2" t="s">
        <v>77</v>
      </c>
      <c r="E803" s="2" t="s">
        <v>32</v>
      </c>
      <c r="F803" s="4" t="str">
        <f aca="false">INDEX(Products!$B$2:$B$9,MATCH(E803,Products!$A$2:$A$9,0))</f>
        <v>Analytics Plus</v>
      </c>
      <c r="G803" s="4" t="str">
        <f aca="false">INDEX(Products!$C$2:$C$9,MATCH(E803,Products!$A$2:$A$9,0))</f>
        <v>Software</v>
      </c>
      <c r="H803" s="5" t="n">
        <v>2</v>
      </c>
      <c r="I803" s="6" t="n">
        <f aca="false">INDEX(Products!$D$2:$D$9,MATCH(E803,Products!$A$2:$A$9,0))</f>
        <v>290</v>
      </c>
      <c r="J803" s="7" t="n">
        <v>0.2</v>
      </c>
      <c r="K803" s="8" t="n">
        <f aca="false">H803*I803*(1-J803)</f>
        <v>464</v>
      </c>
      <c r="L803" s="6" t="n">
        <f aca="false">H803*INDEX(Products!$E$2:$E$9,MATCH(E803,Products!$A$2:$A$9,0))</f>
        <v>82</v>
      </c>
      <c r="M803" s="8" t="n">
        <f aca="false">K803-L803</f>
        <v>382</v>
      </c>
      <c r="N803" s="2" t="s">
        <v>19</v>
      </c>
      <c r="O803" s="2" t="s">
        <v>33</v>
      </c>
    </row>
    <row r="804" customFormat="false" ht="15" hidden="false" customHeight="false" outlineLevel="0" collapsed="false">
      <c r="A804" s="2" t="s">
        <v>858</v>
      </c>
      <c r="B804" s="3" t="n">
        <v>45992</v>
      </c>
      <c r="C804" s="2" t="s">
        <v>16</v>
      </c>
      <c r="D804" s="2" t="s">
        <v>25</v>
      </c>
      <c r="E804" s="2" t="s">
        <v>68</v>
      </c>
      <c r="F804" s="4" t="str">
        <f aca="false">INDEX(Products!$B$2:$B$9,MATCH(E804,Products!$A$2:$A$9,0))</f>
        <v>Premium Support</v>
      </c>
      <c r="G804" s="4" t="str">
        <f aca="false">INDEX(Products!$C$2:$C$9,MATCH(E804,Products!$A$2:$A$9,0))</f>
        <v>Services</v>
      </c>
      <c r="H804" s="5" t="n">
        <v>1</v>
      </c>
      <c r="I804" s="6" t="n">
        <f aca="false">INDEX(Products!$D$2:$D$9,MATCH(E804,Products!$A$2:$A$9,0))</f>
        <v>600</v>
      </c>
      <c r="J804" s="7" t="n">
        <v>0.15</v>
      </c>
      <c r="K804" s="8" t="n">
        <f aca="false">H804*I804*(1-J804)</f>
        <v>510</v>
      </c>
      <c r="L804" s="6" t="n">
        <f aca="false">H804*INDEX(Products!$E$2:$E$9,MATCH(E804,Products!$A$2:$A$9,0))</f>
        <v>395</v>
      </c>
      <c r="M804" s="8" t="n">
        <f aca="false">K804-L804</f>
        <v>115</v>
      </c>
      <c r="N804" s="2" t="s">
        <v>19</v>
      </c>
      <c r="O804" s="2" t="s">
        <v>36</v>
      </c>
    </row>
    <row r="805" customFormat="false" ht="15" hidden="false" customHeight="false" outlineLevel="0" collapsed="false">
      <c r="A805" s="2" t="s">
        <v>859</v>
      </c>
      <c r="B805" s="3" t="n">
        <v>45993</v>
      </c>
      <c r="C805" s="2" t="s">
        <v>41</v>
      </c>
      <c r="D805" s="2" t="s">
        <v>42</v>
      </c>
      <c r="E805" s="2" t="s">
        <v>26</v>
      </c>
      <c r="F805" s="4" t="str">
        <f aca="false">INDEX(Products!$B$2:$B$9,MATCH(E805,Products!$A$2:$A$9,0))</f>
        <v>Analytics Basic</v>
      </c>
      <c r="G805" s="4" t="str">
        <f aca="false">INDEX(Products!$C$2:$C$9,MATCH(E805,Products!$A$2:$A$9,0))</f>
        <v>Software</v>
      </c>
      <c r="H805" s="5" t="n">
        <v>1</v>
      </c>
      <c r="I805" s="6" t="n">
        <f aca="false">INDEX(Products!$D$2:$D$9,MATCH(E805,Products!$A$2:$A$9,0))</f>
        <v>120</v>
      </c>
      <c r="J805" s="7" t="n">
        <v>0.2</v>
      </c>
      <c r="K805" s="8" t="n">
        <f aca="false">H805*I805*(1-J805)</f>
        <v>96</v>
      </c>
      <c r="L805" s="6" t="n">
        <f aca="false">H805*INDEX(Products!$E$2:$E$9,MATCH(E805,Products!$A$2:$A$9,0))</f>
        <v>18</v>
      </c>
      <c r="M805" s="8" t="n">
        <f aca="false">K805-L805</f>
        <v>78</v>
      </c>
      <c r="N805" s="2" t="s">
        <v>19</v>
      </c>
      <c r="O805" s="2" t="s">
        <v>52</v>
      </c>
    </row>
    <row r="806" customFormat="false" ht="15" hidden="false" customHeight="false" outlineLevel="0" collapsed="false">
      <c r="A806" s="2" t="s">
        <v>860</v>
      </c>
      <c r="B806" s="3" t="n">
        <v>45993</v>
      </c>
      <c r="C806" s="2" t="s">
        <v>47</v>
      </c>
      <c r="D806" s="2" t="s">
        <v>55</v>
      </c>
      <c r="E806" s="2" t="s">
        <v>32</v>
      </c>
      <c r="F806" s="4" t="str">
        <f aca="false">INDEX(Products!$B$2:$B$9,MATCH(E806,Products!$A$2:$A$9,0))</f>
        <v>Analytics Plus</v>
      </c>
      <c r="G806" s="4" t="str">
        <f aca="false">INDEX(Products!$C$2:$C$9,MATCH(E806,Products!$A$2:$A$9,0))</f>
        <v>Software</v>
      </c>
      <c r="H806" s="5" t="n">
        <v>1</v>
      </c>
      <c r="I806" s="6" t="n">
        <f aca="false">INDEX(Products!$D$2:$D$9,MATCH(E806,Products!$A$2:$A$9,0))</f>
        <v>290</v>
      </c>
      <c r="J806" s="7" t="n">
        <v>0</v>
      </c>
      <c r="K806" s="8" t="n">
        <f aca="false">H806*I806*(1-J806)</f>
        <v>290</v>
      </c>
      <c r="L806" s="6" t="n">
        <f aca="false">H806*INDEX(Products!$E$2:$E$9,MATCH(E806,Products!$A$2:$A$9,0))</f>
        <v>41</v>
      </c>
      <c r="M806" s="8" t="n">
        <f aca="false">K806-L806</f>
        <v>249</v>
      </c>
      <c r="N806" s="2" t="s">
        <v>28</v>
      </c>
      <c r="O806" s="2" t="s">
        <v>50</v>
      </c>
    </row>
    <row r="807" customFormat="false" ht="15" hidden="false" customHeight="false" outlineLevel="0" collapsed="false">
      <c r="A807" s="2" t="s">
        <v>861</v>
      </c>
      <c r="B807" s="3" t="n">
        <v>45993</v>
      </c>
      <c r="C807" s="2" t="s">
        <v>47</v>
      </c>
      <c r="D807" s="2" t="s">
        <v>55</v>
      </c>
      <c r="E807" s="2" t="s">
        <v>61</v>
      </c>
      <c r="F807" s="4" t="str">
        <f aca="false">INDEX(Products!$B$2:$B$9,MATCH(E807,Products!$A$2:$A$9,0))</f>
        <v>Install Service</v>
      </c>
      <c r="G807" s="4" t="str">
        <f aca="false">INDEX(Products!$C$2:$C$9,MATCH(E807,Products!$A$2:$A$9,0))</f>
        <v>Services</v>
      </c>
      <c r="H807" s="5" t="n">
        <v>1</v>
      </c>
      <c r="I807" s="6" t="n">
        <f aca="false">INDEX(Products!$D$2:$D$9,MATCH(E807,Products!$A$2:$A$9,0))</f>
        <v>450</v>
      </c>
      <c r="J807" s="7" t="n">
        <v>0</v>
      </c>
      <c r="K807" s="8" t="n">
        <f aca="false">H807*I807*(1-J807)</f>
        <v>450</v>
      </c>
      <c r="L807" s="6" t="n">
        <f aca="false">H807*INDEX(Products!$E$2:$E$9,MATCH(E807,Products!$A$2:$A$9,0))</f>
        <v>310</v>
      </c>
      <c r="M807" s="8" t="n">
        <f aca="false">K807-L807</f>
        <v>140</v>
      </c>
      <c r="N807" s="2" t="s">
        <v>28</v>
      </c>
      <c r="O807" s="2" t="s">
        <v>72</v>
      </c>
    </row>
    <row r="808" customFormat="false" ht="15" hidden="false" customHeight="false" outlineLevel="0" collapsed="false">
      <c r="A808" s="2" t="s">
        <v>862</v>
      </c>
      <c r="B808" s="3" t="n">
        <v>45993</v>
      </c>
      <c r="C808" s="2" t="s">
        <v>59</v>
      </c>
      <c r="D808" s="2" t="s">
        <v>101</v>
      </c>
      <c r="E808" s="2" t="s">
        <v>32</v>
      </c>
      <c r="F808" s="4" t="str">
        <f aca="false">INDEX(Products!$B$2:$B$9,MATCH(E808,Products!$A$2:$A$9,0))</f>
        <v>Analytics Plus</v>
      </c>
      <c r="G808" s="4" t="str">
        <f aca="false">INDEX(Products!$C$2:$C$9,MATCH(E808,Products!$A$2:$A$9,0))</f>
        <v>Software</v>
      </c>
      <c r="H808" s="5" t="n">
        <v>1</v>
      </c>
      <c r="I808" s="6" t="n">
        <f aca="false">INDEX(Products!$D$2:$D$9,MATCH(E808,Products!$A$2:$A$9,0))</f>
        <v>290</v>
      </c>
      <c r="J808" s="7" t="n">
        <v>0.1</v>
      </c>
      <c r="K808" s="8" t="n">
        <f aca="false">H808*I808*(1-J808)</f>
        <v>261</v>
      </c>
      <c r="L808" s="6" t="n">
        <f aca="false">H808*INDEX(Products!$E$2:$E$9,MATCH(E808,Products!$A$2:$A$9,0))</f>
        <v>41</v>
      </c>
      <c r="M808" s="8" t="n">
        <f aca="false">K808-L808</f>
        <v>220</v>
      </c>
      <c r="N808" s="2" t="s">
        <v>38</v>
      </c>
      <c r="O808" s="2" t="s">
        <v>62</v>
      </c>
    </row>
    <row r="809" customFormat="false" ht="15" hidden="false" customHeight="false" outlineLevel="0" collapsed="false">
      <c r="A809" s="2" t="s">
        <v>863</v>
      </c>
      <c r="B809" s="3" t="n">
        <v>45993</v>
      </c>
      <c r="C809" s="2" t="s">
        <v>16</v>
      </c>
      <c r="D809" s="2" t="s">
        <v>22</v>
      </c>
      <c r="E809" s="2" t="s">
        <v>32</v>
      </c>
      <c r="F809" s="4" t="str">
        <f aca="false">INDEX(Products!$B$2:$B$9,MATCH(E809,Products!$A$2:$A$9,0))</f>
        <v>Analytics Plus</v>
      </c>
      <c r="G809" s="4" t="str">
        <f aca="false">INDEX(Products!$C$2:$C$9,MATCH(E809,Products!$A$2:$A$9,0))</f>
        <v>Software</v>
      </c>
      <c r="H809" s="5" t="n">
        <v>2</v>
      </c>
      <c r="I809" s="6" t="n">
        <f aca="false">INDEX(Products!$D$2:$D$9,MATCH(E809,Products!$A$2:$A$9,0))</f>
        <v>290</v>
      </c>
      <c r="J809" s="7" t="n">
        <v>0.2</v>
      </c>
      <c r="K809" s="8" t="n">
        <f aca="false">H809*I809*(1-J809)</f>
        <v>464</v>
      </c>
      <c r="L809" s="6" t="n">
        <f aca="false">H809*INDEX(Products!$E$2:$E$9,MATCH(E809,Products!$A$2:$A$9,0))</f>
        <v>82</v>
      </c>
      <c r="M809" s="8" t="n">
        <f aca="false">K809-L809</f>
        <v>382</v>
      </c>
      <c r="N809" s="2" t="s">
        <v>19</v>
      </c>
      <c r="O809" s="2" t="s">
        <v>36</v>
      </c>
    </row>
    <row r="810" customFormat="false" ht="15" hidden="false" customHeight="false" outlineLevel="0" collapsed="false">
      <c r="A810" s="2" t="s">
        <v>864</v>
      </c>
      <c r="B810" s="3" t="n">
        <v>45994</v>
      </c>
      <c r="C810" s="2" t="s">
        <v>47</v>
      </c>
      <c r="D810" s="2" t="s">
        <v>71</v>
      </c>
      <c r="E810" s="2" t="s">
        <v>49</v>
      </c>
      <c r="F810" s="4" t="str">
        <f aca="false">INDEX(Products!$B$2:$B$9,MATCH(E810,Products!$A$2:$A$9,0))</f>
        <v>Mounting Kit</v>
      </c>
      <c r="G810" s="4" t="str">
        <f aca="false">INDEX(Products!$C$2:$C$9,MATCH(E810,Products!$A$2:$A$9,0))</f>
        <v>Accessories</v>
      </c>
      <c r="H810" s="5" t="n">
        <v>20</v>
      </c>
      <c r="I810" s="6" t="n">
        <f aca="false">INDEX(Products!$D$2:$D$9,MATCH(E810,Products!$A$2:$A$9,0))</f>
        <v>39</v>
      </c>
      <c r="J810" s="7" t="n">
        <v>0</v>
      </c>
      <c r="K810" s="8" t="n">
        <f aca="false">H810*I810*(1-J810)</f>
        <v>780</v>
      </c>
      <c r="L810" s="6" t="n">
        <f aca="false">H810*INDEX(Products!$E$2:$E$9,MATCH(E810,Products!$A$2:$A$9,0))</f>
        <v>630</v>
      </c>
      <c r="M810" s="8" t="n">
        <f aca="false">K810-L810</f>
        <v>150</v>
      </c>
      <c r="N810" s="2" t="s">
        <v>28</v>
      </c>
      <c r="O810" s="2" t="s">
        <v>50</v>
      </c>
    </row>
    <row r="811" customFormat="false" ht="15" hidden="false" customHeight="false" outlineLevel="0" collapsed="false">
      <c r="A811" s="2" t="s">
        <v>865</v>
      </c>
      <c r="B811" s="3" t="n">
        <v>45994</v>
      </c>
      <c r="C811" s="2" t="s">
        <v>16</v>
      </c>
      <c r="D811" s="2" t="s">
        <v>25</v>
      </c>
      <c r="E811" s="2" t="s">
        <v>61</v>
      </c>
      <c r="F811" s="4" t="str">
        <f aca="false">INDEX(Products!$B$2:$B$9,MATCH(E811,Products!$A$2:$A$9,0))</f>
        <v>Install Service</v>
      </c>
      <c r="G811" s="4" t="str">
        <f aca="false">INDEX(Products!$C$2:$C$9,MATCH(E811,Products!$A$2:$A$9,0))</f>
        <v>Services</v>
      </c>
      <c r="H811" s="5" t="n">
        <v>1</v>
      </c>
      <c r="I811" s="6" t="n">
        <f aca="false">INDEX(Products!$D$2:$D$9,MATCH(E811,Products!$A$2:$A$9,0))</f>
        <v>450</v>
      </c>
      <c r="J811" s="7" t="n">
        <v>0.15</v>
      </c>
      <c r="K811" s="8" t="n">
        <f aca="false">H811*I811*(1-J811)</f>
        <v>382.5</v>
      </c>
      <c r="L811" s="6" t="n">
        <f aca="false">H811*INDEX(Products!$E$2:$E$9,MATCH(E811,Products!$A$2:$A$9,0))</f>
        <v>310</v>
      </c>
      <c r="M811" s="8" t="n">
        <f aca="false">K811-L811</f>
        <v>72.5</v>
      </c>
      <c r="N811" s="2" t="s">
        <v>19</v>
      </c>
      <c r="O811" s="2" t="s">
        <v>20</v>
      </c>
    </row>
    <row r="812" customFormat="false" ht="15" hidden="false" customHeight="false" outlineLevel="0" collapsed="false">
      <c r="A812" s="2" t="s">
        <v>866</v>
      </c>
      <c r="B812" s="3" t="n">
        <v>45994</v>
      </c>
      <c r="C812" s="2" t="s">
        <v>59</v>
      </c>
      <c r="D812" s="2" t="s">
        <v>91</v>
      </c>
      <c r="E812" s="2" t="s">
        <v>18</v>
      </c>
      <c r="F812" s="4" t="str">
        <f aca="false">INDEX(Products!$B$2:$B$9,MATCH(E812,Products!$A$2:$A$9,0))</f>
        <v>Sensor Hub Pro</v>
      </c>
      <c r="G812" s="4" t="str">
        <f aca="false">INDEX(Products!$C$2:$C$9,MATCH(E812,Products!$A$2:$A$9,0))</f>
        <v>Hardware</v>
      </c>
      <c r="H812" s="5" t="n">
        <v>3</v>
      </c>
      <c r="I812" s="6" t="n">
        <f aca="false">INDEX(Products!$D$2:$D$9,MATCH(E812,Products!$A$2:$A$9,0))</f>
        <v>349</v>
      </c>
      <c r="J812" s="7" t="n">
        <v>0</v>
      </c>
      <c r="K812" s="8" t="n">
        <f aca="false">H812*I812*(1-J812)</f>
        <v>1047</v>
      </c>
      <c r="L812" s="6" t="n">
        <f aca="false">H812*INDEX(Products!$E$2:$E$9,MATCH(E812,Products!$A$2:$A$9,0))</f>
        <v>603</v>
      </c>
      <c r="M812" s="8" t="n">
        <f aca="false">K812-L812</f>
        <v>444</v>
      </c>
      <c r="N812" s="2" t="s">
        <v>28</v>
      </c>
      <c r="O812" s="2" t="s">
        <v>62</v>
      </c>
    </row>
    <row r="813" customFormat="false" ht="15" hidden="false" customHeight="false" outlineLevel="0" collapsed="false">
      <c r="A813" s="2" t="s">
        <v>867</v>
      </c>
      <c r="B813" s="3" t="n">
        <v>45994</v>
      </c>
      <c r="C813" s="2" t="s">
        <v>41</v>
      </c>
      <c r="D813" s="2" t="s">
        <v>66</v>
      </c>
      <c r="E813" s="2" t="s">
        <v>23</v>
      </c>
      <c r="F813" s="4" t="str">
        <f aca="false">INDEX(Products!$B$2:$B$9,MATCH(E813,Products!$A$2:$A$9,0))</f>
        <v>Sensor Hub S</v>
      </c>
      <c r="G813" s="4" t="str">
        <f aca="false">INDEX(Products!$C$2:$C$9,MATCH(E813,Products!$A$2:$A$9,0))</f>
        <v>Hardware</v>
      </c>
      <c r="H813" s="5" t="n">
        <v>8</v>
      </c>
      <c r="I813" s="6" t="n">
        <f aca="false">INDEX(Products!$D$2:$D$9,MATCH(E813,Products!$A$2:$A$9,0))</f>
        <v>189</v>
      </c>
      <c r="J813" s="7" t="n">
        <v>0.05</v>
      </c>
      <c r="K813" s="8" t="n">
        <f aca="false">H813*I813*(1-J813)</f>
        <v>1436.4</v>
      </c>
      <c r="L813" s="6" t="n">
        <f aca="false">H813*INDEX(Products!$E$2:$E$9,MATCH(E813,Products!$A$2:$A$9,0))</f>
        <v>784</v>
      </c>
      <c r="M813" s="8" t="n">
        <f aca="false">K813-L813</f>
        <v>652.4</v>
      </c>
      <c r="N813" s="2" t="s">
        <v>28</v>
      </c>
      <c r="O813" s="2" t="s">
        <v>43</v>
      </c>
    </row>
    <row r="814" customFormat="false" ht="15" hidden="false" customHeight="false" outlineLevel="0" collapsed="false">
      <c r="A814" s="2" t="s">
        <v>868</v>
      </c>
      <c r="B814" s="3" t="n">
        <v>45994</v>
      </c>
      <c r="C814" s="2" t="s">
        <v>41</v>
      </c>
      <c r="D814" s="2" t="s">
        <v>42</v>
      </c>
      <c r="E814" s="2" t="s">
        <v>23</v>
      </c>
      <c r="F814" s="4" t="str">
        <f aca="false">INDEX(Products!$B$2:$B$9,MATCH(E814,Products!$A$2:$A$9,0))</f>
        <v>Sensor Hub S</v>
      </c>
      <c r="G814" s="4" t="str">
        <f aca="false">INDEX(Products!$C$2:$C$9,MATCH(E814,Products!$A$2:$A$9,0))</f>
        <v>Hardware</v>
      </c>
      <c r="H814" s="5" t="n">
        <v>8</v>
      </c>
      <c r="I814" s="6" t="n">
        <f aca="false">INDEX(Products!$D$2:$D$9,MATCH(E814,Products!$A$2:$A$9,0))</f>
        <v>189</v>
      </c>
      <c r="J814" s="7" t="n">
        <v>0.1</v>
      </c>
      <c r="K814" s="8" t="n">
        <f aca="false">H814*I814*(1-J814)</f>
        <v>1360.8</v>
      </c>
      <c r="L814" s="6" t="n">
        <f aca="false">H814*INDEX(Products!$E$2:$E$9,MATCH(E814,Products!$A$2:$A$9,0))</f>
        <v>784</v>
      </c>
      <c r="M814" s="8" t="n">
        <f aca="false">K814-L814</f>
        <v>576.8</v>
      </c>
      <c r="N814" s="2" t="s">
        <v>19</v>
      </c>
      <c r="O814" s="2" t="s">
        <v>43</v>
      </c>
    </row>
    <row r="815" customFormat="false" ht="15" hidden="false" customHeight="false" outlineLevel="0" collapsed="false">
      <c r="A815" s="2" t="s">
        <v>869</v>
      </c>
      <c r="B815" s="3" t="n">
        <v>45995</v>
      </c>
      <c r="C815" s="2" t="s">
        <v>16</v>
      </c>
      <c r="D815" s="2" t="s">
        <v>22</v>
      </c>
      <c r="E815" s="2" t="s">
        <v>61</v>
      </c>
      <c r="F815" s="4" t="str">
        <f aca="false">INDEX(Products!$B$2:$B$9,MATCH(E815,Products!$A$2:$A$9,0))</f>
        <v>Install Service</v>
      </c>
      <c r="G815" s="4" t="str">
        <f aca="false">INDEX(Products!$C$2:$C$9,MATCH(E815,Products!$A$2:$A$9,0))</f>
        <v>Services</v>
      </c>
      <c r="H815" s="5" t="n">
        <v>2</v>
      </c>
      <c r="I815" s="6" t="n">
        <f aca="false">INDEX(Products!$D$2:$D$9,MATCH(E815,Products!$A$2:$A$9,0))</f>
        <v>450</v>
      </c>
      <c r="J815" s="7" t="n">
        <v>0.05</v>
      </c>
      <c r="K815" s="8" t="n">
        <f aca="false">H815*I815*(1-J815)</f>
        <v>855</v>
      </c>
      <c r="L815" s="6" t="n">
        <f aca="false">H815*INDEX(Products!$E$2:$E$9,MATCH(E815,Products!$A$2:$A$9,0))</f>
        <v>620</v>
      </c>
      <c r="M815" s="8" t="n">
        <f aca="false">K815-L815</f>
        <v>235</v>
      </c>
      <c r="N815" s="2" t="s">
        <v>28</v>
      </c>
      <c r="O815" s="2" t="s">
        <v>36</v>
      </c>
    </row>
    <row r="816" customFormat="false" ht="15" hidden="false" customHeight="false" outlineLevel="0" collapsed="false">
      <c r="A816" s="2" t="s">
        <v>870</v>
      </c>
      <c r="B816" s="3" t="n">
        <v>45995</v>
      </c>
      <c r="C816" s="2" t="s">
        <v>59</v>
      </c>
      <c r="D816" s="2" t="s">
        <v>91</v>
      </c>
      <c r="E816" s="2" t="s">
        <v>32</v>
      </c>
      <c r="F816" s="4" t="str">
        <f aca="false">INDEX(Products!$B$2:$B$9,MATCH(E816,Products!$A$2:$A$9,0))</f>
        <v>Analytics Plus</v>
      </c>
      <c r="G816" s="4" t="str">
        <f aca="false">INDEX(Products!$C$2:$C$9,MATCH(E816,Products!$A$2:$A$9,0))</f>
        <v>Software</v>
      </c>
      <c r="H816" s="5" t="n">
        <v>1</v>
      </c>
      <c r="I816" s="6" t="n">
        <f aca="false">INDEX(Products!$D$2:$D$9,MATCH(E816,Products!$A$2:$A$9,0))</f>
        <v>290</v>
      </c>
      <c r="J816" s="7" t="n">
        <v>0</v>
      </c>
      <c r="K816" s="8" t="n">
        <f aca="false">H816*I816*(1-J816)</f>
        <v>290</v>
      </c>
      <c r="L816" s="6" t="n">
        <f aca="false">H816*INDEX(Products!$E$2:$E$9,MATCH(E816,Products!$A$2:$A$9,0))</f>
        <v>41</v>
      </c>
      <c r="M816" s="8" t="n">
        <f aca="false">K816-L816</f>
        <v>249</v>
      </c>
      <c r="N816" s="2" t="s">
        <v>28</v>
      </c>
      <c r="O816" s="2" t="s">
        <v>62</v>
      </c>
    </row>
    <row r="817" customFormat="false" ht="15" hidden="false" customHeight="false" outlineLevel="0" collapsed="false">
      <c r="A817" s="2" t="s">
        <v>871</v>
      </c>
      <c r="B817" s="3" t="n">
        <v>45995</v>
      </c>
      <c r="C817" s="2" t="s">
        <v>47</v>
      </c>
      <c r="D817" s="2" t="s">
        <v>55</v>
      </c>
      <c r="E817" s="2" t="s">
        <v>49</v>
      </c>
      <c r="F817" s="4" t="str">
        <f aca="false">INDEX(Products!$B$2:$B$9,MATCH(E817,Products!$A$2:$A$9,0))</f>
        <v>Mounting Kit</v>
      </c>
      <c r="G817" s="4" t="str">
        <f aca="false">INDEX(Products!$C$2:$C$9,MATCH(E817,Products!$A$2:$A$9,0))</f>
        <v>Accessories</v>
      </c>
      <c r="H817" s="5" t="n">
        <v>8</v>
      </c>
      <c r="I817" s="6" t="n">
        <f aca="false">INDEX(Products!$D$2:$D$9,MATCH(E817,Products!$A$2:$A$9,0))</f>
        <v>39</v>
      </c>
      <c r="J817" s="7" t="n">
        <v>0.05</v>
      </c>
      <c r="K817" s="8" t="n">
        <f aca="false">H817*I817*(1-J817)</f>
        <v>296.4</v>
      </c>
      <c r="L817" s="6" t="n">
        <f aca="false">H817*INDEX(Products!$E$2:$E$9,MATCH(E817,Products!$A$2:$A$9,0))</f>
        <v>252</v>
      </c>
      <c r="M817" s="8" t="n">
        <f aca="false">K817-L817</f>
        <v>44.4</v>
      </c>
      <c r="N817" s="2" t="s">
        <v>28</v>
      </c>
      <c r="O817" s="2" t="s">
        <v>72</v>
      </c>
    </row>
    <row r="818" customFormat="false" ht="15" hidden="false" customHeight="false" outlineLevel="0" collapsed="false">
      <c r="A818" s="2" t="s">
        <v>872</v>
      </c>
      <c r="B818" s="3" t="n">
        <v>45995</v>
      </c>
      <c r="C818" s="2" t="s">
        <v>16</v>
      </c>
      <c r="D818" s="2" t="s">
        <v>35</v>
      </c>
      <c r="E818" s="2" t="s">
        <v>49</v>
      </c>
      <c r="F818" s="4" t="str">
        <f aca="false">INDEX(Products!$B$2:$B$9,MATCH(E818,Products!$A$2:$A$9,0))</f>
        <v>Mounting Kit</v>
      </c>
      <c r="G818" s="4" t="str">
        <f aca="false">INDEX(Products!$C$2:$C$9,MATCH(E818,Products!$A$2:$A$9,0))</f>
        <v>Accessories</v>
      </c>
      <c r="H818" s="5" t="n">
        <v>8</v>
      </c>
      <c r="I818" s="6" t="n">
        <f aca="false">INDEX(Products!$D$2:$D$9,MATCH(E818,Products!$A$2:$A$9,0))</f>
        <v>39</v>
      </c>
      <c r="J818" s="7" t="n">
        <v>0.05</v>
      </c>
      <c r="K818" s="8" t="n">
        <f aca="false">H818*I818*(1-J818)</f>
        <v>296.4</v>
      </c>
      <c r="L818" s="6" t="n">
        <f aca="false">H818*INDEX(Products!$E$2:$E$9,MATCH(E818,Products!$A$2:$A$9,0))</f>
        <v>252</v>
      </c>
      <c r="M818" s="8" t="n">
        <f aca="false">K818-L818</f>
        <v>44.4</v>
      </c>
      <c r="N818" s="2" t="s">
        <v>28</v>
      </c>
      <c r="O818" s="2" t="s">
        <v>20</v>
      </c>
    </row>
    <row r="819" customFormat="false" ht="15" hidden="false" customHeight="false" outlineLevel="0" collapsed="false">
      <c r="A819" s="2" t="s">
        <v>873</v>
      </c>
      <c r="B819" s="3" t="n">
        <v>45996</v>
      </c>
      <c r="C819" s="2" t="s">
        <v>41</v>
      </c>
      <c r="D819" s="2" t="s">
        <v>66</v>
      </c>
      <c r="E819" s="2" t="s">
        <v>49</v>
      </c>
      <c r="F819" s="4" t="str">
        <f aca="false">INDEX(Products!$B$2:$B$9,MATCH(E819,Products!$A$2:$A$9,0))</f>
        <v>Mounting Kit</v>
      </c>
      <c r="G819" s="4" t="str">
        <f aca="false">INDEX(Products!$C$2:$C$9,MATCH(E819,Products!$A$2:$A$9,0))</f>
        <v>Accessories</v>
      </c>
      <c r="H819" s="5" t="n">
        <v>1</v>
      </c>
      <c r="I819" s="6" t="n">
        <f aca="false">INDEX(Products!$D$2:$D$9,MATCH(E819,Products!$A$2:$A$9,0))</f>
        <v>39</v>
      </c>
      <c r="J819" s="7" t="n">
        <v>0.15</v>
      </c>
      <c r="K819" s="8" t="n">
        <f aca="false">H819*I819*(1-J819)</f>
        <v>33.15</v>
      </c>
      <c r="L819" s="6" t="n">
        <f aca="false">H819*INDEX(Products!$E$2:$E$9,MATCH(E819,Products!$A$2:$A$9,0))</f>
        <v>31.5</v>
      </c>
      <c r="M819" s="8" t="n">
        <f aca="false">K819-L819</f>
        <v>1.65</v>
      </c>
      <c r="N819" s="2" t="s">
        <v>28</v>
      </c>
      <c r="O819" s="2" t="s">
        <v>43</v>
      </c>
    </row>
    <row r="820" customFormat="false" ht="15" hidden="false" customHeight="false" outlineLevel="0" collapsed="false">
      <c r="A820" s="2" t="s">
        <v>874</v>
      </c>
      <c r="B820" s="3" t="n">
        <v>45996</v>
      </c>
      <c r="C820" s="2" t="s">
        <v>30</v>
      </c>
      <c r="D820" s="2" t="s">
        <v>128</v>
      </c>
      <c r="E820" s="2" t="s">
        <v>61</v>
      </c>
      <c r="F820" s="4" t="str">
        <f aca="false">INDEX(Products!$B$2:$B$9,MATCH(E820,Products!$A$2:$A$9,0))</f>
        <v>Install Service</v>
      </c>
      <c r="G820" s="4" t="str">
        <f aca="false">INDEX(Products!$C$2:$C$9,MATCH(E820,Products!$A$2:$A$9,0))</f>
        <v>Services</v>
      </c>
      <c r="H820" s="5" t="n">
        <v>1</v>
      </c>
      <c r="I820" s="6" t="n">
        <f aca="false">INDEX(Products!$D$2:$D$9,MATCH(E820,Products!$A$2:$A$9,0))</f>
        <v>450</v>
      </c>
      <c r="J820" s="7" t="n">
        <v>0.1</v>
      </c>
      <c r="K820" s="8" t="n">
        <f aca="false">H820*I820*(1-J820)</f>
        <v>405</v>
      </c>
      <c r="L820" s="6" t="n">
        <f aca="false">H820*INDEX(Products!$E$2:$E$9,MATCH(E820,Products!$A$2:$A$9,0))</f>
        <v>310</v>
      </c>
      <c r="M820" s="8" t="n">
        <f aca="false">K820-L820</f>
        <v>95</v>
      </c>
      <c r="N820" s="2" t="s">
        <v>19</v>
      </c>
      <c r="O820" s="2" t="s">
        <v>64</v>
      </c>
    </row>
    <row r="821" customFormat="false" ht="15" hidden="false" customHeight="false" outlineLevel="0" collapsed="false">
      <c r="A821" s="2" t="s">
        <v>875</v>
      </c>
      <c r="B821" s="3" t="n">
        <v>45996</v>
      </c>
      <c r="C821" s="2" t="s">
        <v>59</v>
      </c>
      <c r="D821" s="2" t="s">
        <v>60</v>
      </c>
      <c r="E821" s="2" t="s">
        <v>32</v>
      </c>
      <c r="F821" s="4" t="str">
        <f aca="false">INDEX(Products!$B$2:$B$9,MATCH(E821,Products!$A$2:$A$9,0))</f>
        <v>Analytics Plus</v>
      </c>
      <c r="G821" s="4" t="str">
        <f aca="false">INDEX(Products!$C$2:$C$9,MATCH(E821,Products!$A$2:$A$9,0))</f>
        <v>Software</v>
      </c>
      <c r="H821" s="5" t="n">
        <v>1</v>
      </c>
      <c r="I821" s="6" t="n">
        <f aca="false">INDEX(Products!$D$2:$D$9,MATCH(E821,Products!$A$2:$A$9,0))</f>
        <v>290</v>
      </c>
      <c r="J821" s="7" t="n">
        <v>0.1</v>
      </c>
      <c r="K821" s="8" t="n">
        <f aca="false">H821*I821*(1-J821)</f>
        <v>261</v>
      </c>
      <c r="L821" s="6" t="n">
        <f aca="false">H821*INDEX(Products!$E$2:$E$9,MATCH(E821,Products!$A$2:$A$9,0))</f>
        <v>41</v>
      </c>
      <c r="M821" s="8" t="n">
        <f aca="false">K821-L821</f>
        <v>220</v>
      </c>
      <c r="N821" s="2" t="s">
        <v>19</v>
      </c>
      <c r="O821" s="2" t="s">
        <v>62</v>
      </c>
    </row>
    <row r="822" customFormat="false" ht="15" hidden="false" customHeight="false" outlineLevel="0" collapsed="false">
      <c r="A822" s="2" t="s">
        <v>876</v>
      </c>
      <c r="B822" s="3" t="n">
        <v>45996</v>
      </c>
      <c r="C822" s="2" t="s">
        <v>47</v>
      </c>
      <c r="D822" s="2" t="s">
        <v>55</v>
      </c>
      <c r="E822" s="2" t="s">
        <v>49</v>
      </c>
      <c r="F822" s="4" t="str">
        <f aca="false">INDEX(Products!$B$2:$B$9,MATCH(E822,Products!$A$2:$A$9,0))</f>
        <v>Mounting Kit</v>
      </c>
      <c r="G822" s="4" t="str">
        <f aca="false">INDEX(Products!$C$2:$C$9,MATCH(E822,Products!$A$2:$A$9,0))</f>
        <v>Accessories</v>
      </c>
      <c r="H822" s="5" t="n">
        <v>8</v>
      </c>
      <c r="I822" s="6" t="n">
        <f aca="false">INDEX(Products!$D$2:$D$9,MATCH(E822,Products!$A$2:$A$9,0))</f>
        <v>39</v>
      </c>
      <c r="J822" s="7" t="n">
        <v>0.1</v>
      </c>
      <c r="K822" s="8" t="n">
        <f aca="false">H822*I822*(1-J822)</f>
        <v>280.8</v>
      </c>
      <c r="L822" s="6" t="n">
        <f aca="false">H822*INDEX(Products!$E$2:$E$9,MATCH(E822,Products!$A$2:$A$9,0))</f>
        <v>252</v>
      </c>
      <c r="M822" s="8" t="n">
        <f aca="false">K822-L822</f>
        <v>28.8</v>
      </c>
      <c r="N822" s="2" t="s">
        <v>19</v>
      </c>
      <c r="O822" s="2" t="s">
        <v>72</v>
      </c>
    </row>
    <row r="823" customFormat="false" ht="15" hidden="false" customHeight="false" outlineLevel="0" collapsed="false">
      <c r="A823" s="2" t="s">
        <v>877</v>
      </c>
      <c r="B823" s="3" t="n">
        <v>45997</v>
      </c>
      <c r="C823" s="2" t="s">
        <v>59</v>
      </c>
      <c r="D823" s="2" t="s">
        <v>60</v>
      </c>
      <c r="E823" s="2" t="s">
        <v>18</v>
      </c>
      <c r="F823" s="4" t="str">
        <f aca="false">INDEX(Products!$B$2:$B$9,MATCH(E823,Products!$A$2:$A$9,0))</f>
        <v>Sensor Hub Pro</v>
      </c>
      <c r="G823" s="4" t="str">
        <f aca="false">INDEX(Products!$C$2:$C$9,MATCH(E823,Products!$A$2:$A$9,0))</f>
        <v>Hardware</v>
      </c>
      <c r="H823" s="5" t="n">
        <v>5</v>
      </c>
      <c r="I823" s="6" t="n">
        <f aca="false">INDEX(Products!$D$2:$D$9,MATCH(E823,Products!$A$2:$A$9,0))</f>
        <v>349</v>
      </c>
      <c r="J823" s="7" t="n">
        <v>0.05</v>
      </c>
      <c r="K823" s="8" t="n">
        <f aca="false">H823*I823*(1-J823)</f>
        <v>1657.75</v>
      </c>
      <c r="L823" s="6" t="n">
        <f aca="false">H823*INDEX(Products!$E$2:$E$9,MATCH(E823,Products!$A$2:$A$9,0))</f>
        <v>1005</v>
      </c>
      <c r="M823" s="8" t="n">
        <f aca="false">K823-L823</f>
        <v>652.75</v>
      </c>
      <c r="N823" s="2" t="s">
        <v>28</v>
      </c>
      <c r="O823" s="2" t="s">
        <v>62</v>
      </c>
    </row>
    <row r="824" customFormat="false" ht="15" hidden="false" customHeight="false" outlineLevel="0" collapsed="false">
      <c r="A824" s="2" t="s">
        <v>878</v>
      </c>
      <c r="B824" s="3" t="n">
        <v>45999</v>
      </c>
      <c r="C824" s="2" t="s">
        <v>59</v>
      </c>
      <c r="D824" s="2" t="s">
        <v>60</v>
      </c>
      <c r="E824" s="2" t="s">
        <v>23</v>
      </c>
      <c r="F824" s="4" t="str">
        <f aca="false">INDEX(Products!$B$2:$B$9,MATCH(E824,Products!$A$2:$A$9,0))</f>
        <v>Sensor Hub S</v>
      </c>
      <c r="G824" s="4" t="str">
        <f aca="false">INDEX(Products!$C$2:$C$9,MATCH(E824,Products!$A$2:$A$9,0))</f>
        <v>Hardware</v>
      </c>
      <c r="H824" s="5" t="n">
        <v>4</v>
      </c>
      <c r="I824" s="6" t="n">
        <f aca="false">INDEX(Products!$D$2:$D$9,MATCH(E824,Products!$A$2:$A$9,0))</f>
        <v>189</v>
      </c>
      <c r="J824" s="7" t="n">
        <v>0.15</v>
      </c>
      <c r="K824" s="8" t="n">
        <f aca="false">H824*I824*(1-J824)</f>
        <v>642.6</v>
      </c>
      <c r="L824" s="6" t="n">
        <f aca="false">H824*INDEX(Products!$E$2:$E$9,MATCH(E824,Products!$A$2:$A$9,0))</f>
        <v>392</v>
      </c>
      <c r="M824" s="8" t="n">
        <f aca="false">K824-L824</f>
        <v>250.6</v>
      </c>
      <c r="N824" s="2" t="s">
        <v>28</v>
      </c>
      <c r="O824" s="2" t="s">
        <v>62</v>
      </c>
    </row>
    <row r="825" customFormat="false" ht="15" hidden="false" customHeight="false" outlineLevel="0" collapsed="false">
      <c r="A825" s="2" t="s">
        <v>879</v>
      </c>
      <c r="B825" s="3" t="n">
        <v>45999</v>
      </c>
      <c r="C825" s="2" t="s">
        <v>47</v>
      </c>
      <c r="D825" s="2" t="s">
        <v>48</v>
      </c>
      <c r="E825" s="2" t="s">
        <v>18</v>
      </c>
      <c r="F825" s="4" t="str">
        <f aca="false">INDEX(Products!$B$2:$B$9,MATCH(E825,Products!$A$2:$A$9,0))</f>
        <v>Sensor Hub Pro</v>
      </c>
      <c r="G825" s="4" t="str">
        <f aca="false">INDEX(Products!$C$2:$C$9,MATCH(E825,Products!$A$2:$A$9,0))</f>
        <v>Hardware</v>
      </c>
      <c r="H825" s="5" t="n">
        <v>20</v>
      </c>
      <c r="I825" s="6" t="n">
        <f aca="false">INDEX(Products!$D$2:$D$9,MATCH(E825,Products!$A$2:$A$9,0))</f>
        <v>349</v>
      </c>
      <c r="J825" s="7" t="n">
        <v>0.15</v>
      </c>
      <c r="K825" s="8" t="n">
        <f aca="false">H825*I825*(1-J825)</f>
        <v>5933</v>
      </c>
      <c r="L825" s="6" t="n">
        <f aca="false">H825*INDEX(Products!$E$2:$E$9,MATCH(E825,Products!$A$2:$A$9,0))</f>
        <v>4020</v>
      </c>
      <c r="M825" s="8" t="n">
        <f aca="false">K825-L825</f>
        <v>1913</v>
      </c>
      <c r="N825" s="2" t="s">
        <v>19</v>
      </c>
      <c r="O825" s="2" t="s">
        <v>72</v>
      </c>
    </row>
    <row r="826" customFormat="false" ht="15" hidden="false" customHeight="false" outlineLevel="0" collapsed="false">
      <c r="A826" s="2" t="s">
        <v>880</v>
      </c>
      <c r="B826" s="3" t="n">
        <v>45999</v>
      </c>
      <c r="C826" s="2" t="s">
        <v>59</v>
      </c>
      <c r="D826" s="2" t="s">
        <v>91</v>
      </c>
      <c r="E826" s="2" t="s">
        <v>23</v>
      </c>
      <c r="F826" s="4" t="str">
        <f aca="false">INDEX(Products!$B$2:$B$9,MATCH(E826,Products!$A$2:$A$9,0))</f>
        <v>Sensor Hub S</v>
      </c>
      <c r="G826" s="4" t="str">
        <f aca="false">INDEX(Products!$C$2:$C$9,MATCH(E826,Products!$A$2:$A$9,0))</f>
        <v>Hardware</v>
      </c>
      <c r="H826" s="5" t="n">
        <v>2</v>
      </c>
      <c r="I826" s="6" t="n">
        <f aca="false">INDEX(Products!$D$2:$D$9,MATCH(E826,Products!$A$2:$A$9,0))</f>
        <v>189</v>
      </c>
      <c r="J826" s="7" t="n">
        <v>0</v>
      </c>
      <c r="K826" s="8" t="n">
        <f aca="false">H826*I826*(1-J826)</f>
        <v>378</v>
      </c>
      <c r="L826" s="6" t="n">
        <f aca="false">H826*INDEX(Products!$E$2:$E$9,MATCH(E826,Products!$A$2:$A$9,0))</f>
        <v>196</v>
      </c>
      <c r="M826" s="8" t="n">
        <f aca="false">K826-L826</f>
        <v>182</v>
      </c>
      <c r="N826" s="2" t="s">
        <v>28</v>
      </c>
      <c r="O826" s="2" t="s">
        <v>62</v>
      </c>
    </row>
    <row r="827" customFormat="false" ht="15" hidden="false" customHeight="false" outlineLevel="0" collapsed="false">
      <c r="A827" s="2" t="s">
        <v>881</v>
      </c>
      <c r="B827" s="3" t="n">
        <v>45999</v>
      </c>
      <c r="C827" s="2" t="s">
        <v>16</v>
      </c>
      <c r="D827" s="2" t="s">
        <v>35</v>
      </c>
      <c r="E827" s="2" t="s">
        <v>32</v>
      </c>
      <c r="F827" s="4" t="str">
        <f aca="false">INDEX(Products!$B$2:$B$9,MATCH(E827,Products!$A$2:$A$9,0))</f>
        <v>Analytics Plus</v>
      </c>
      <c r="G827" s="4" t="str">
        <f aca="false">INDEX(Products!$C$2:$C$9,MATCH(E827,Products!$A$2:$A$9,0))</f>
        <v>Software</v>
      </c>
      <c r="H827" s="5" t="n">
        <v>1</v>
      </c>
      <c r="I827" s="6" t="n">
        <f aca="false">INDEX(Products!$D$2:$D$9,MATCH(E827,Products!$A$2:$A$9,0))</f>
        <v>290</v>
      </c>
      <c r="J827" s="7" t="n">
        <v>0</v>
      </c>
      <c r="K827" s="8" t="n">
        <f aca="false">H827*I827*(1-J827)</f>
        <v>290</v>
      </c>
      <c r="L827" s="6" t="n">
        <f aca="false">H827*INDEX(Products!$E$2:$E$9,MATCH(E827,Products!$A$2:$A$9,0))</f>
        <v>41</v>
      </c>
      <c r="M827" s="8" t="n">
        <f aca="false">K827-L827</f>
        <v>249</v>
      </c>
      <c r="N827" s="2" t="s">
        <v>28</v>
      </c>
      <c r="O827" s="2" t="s">
        <v>36</v>
      </c>
    </row>
    <row r="828" customFormat="false" ht="15" hidden="false" customHeight="false" outlineLevel="0" collapsed="false">
      <c r="A828" s="2" t="s">
        <v>882</v>
      </c>
      <c r="B828" s="3" t="n">
        <v>45999</v>
      </c>
      <c r="C828" s="2" t="s">
        <v>47</v>
      </c>
      <c r="D828" s="2" t="s">
        <v>55</v>
      </c>
      <c r="E828" s="2" t="s">
        <v>23</v>
      </c>
      <c r="F828" s="4" t="str">
        <f aca="false">INDEX(Products!$B$2:$B$9,MATCH(E828,Products!$A$2:$A$9,0))</f>
        <v>Sensor Hub S</v>
      </c>
      <c r="G828" s="4" t="str">
        <f aca="false">INDEX(Products!$C$2:$C$9,MATCH(E828,Products!$A$2:$A$9,0))</f>
        <v>Hardware</v>
      </c>
      <c r="H828" s="5" t="n">
        <v>12</v>
      </c>
      <c r="I828" s="6" t="n">
        <f aca="false">INDEX(Products!$D$2:$D$9,MATCH(E828,Products!$A$2:$A$9,0))</f>
        <v>189</v>
      </c>
      <c r="J828" s="7" t="n">
        <v>0.15</v>
      </c>
      <c r="K828" s="8" t="n">
        <f aca="false">H828*I828*(1-J828)</f>
        <v>1927.8</v>
      </c>
      <c r="L828" s="6" t="n">
        <f aca="false">H828*INDEX(Products!$E$2:$E$9,MATCH(E828,Products!$A$2:$A$9,0))</f>
        <v>1176</v>
      </c>
      <c r="M828" s="8" t="n">
        <f aca="false">K828-L828</f>
        <v>751.8</v>
      </c>
      <c r="N828" s="2" t="s">
        <v>28</v>
      </c>
      <c r="O828" s="2" t="s">
        <v>72</v>
      </c>
    </row>
    <row r="829" customFormat="false" ht="15" hidden="false" customHeight="false" outlineLevel="0" collapsed="false">
      <c r="A829" s="2" t="s">
        <v>883</v>
      </c>
      <c r="B829" s="3" t="n">
        <v>46000</v>
      </c>
      <c r="C829" s="2" t="s">
        <v>16</v>
      </c>
      <c r="D829" s="2" t="s">
        <v>25</v>
      </c>
      <c r="E829" s="2" t="s">
        <v>68</v>
      </c>
      <c r="F829" s="4" t="str">
        <f aca="false">INDEX(Products!$B$2:$B$9,MATCH(E829,Products!$A$2:$A$9,0))</f>
        <v>Premium Support</v>
      </c>
      <c r="G829" s="4" t="str">
        <f aca="false">INDEX(Products!$C$2:$C$9,MATCH(E829,Products!$A$2:$A$9,0))</f>
        <v>Services</v>
      </c>
      <c r="H829" s="5" t="n">
        <v>2</v>
      </c>
      <c r="I829" s="6" t="n">
        <f aca="false">INDEX(Products!$D$2:$D$9,MATCH(E829,Products!$A$2:$A$9,0))</f>
        <v>600</v>
      </c>
      <c r="J829" s="7" t="n">
        <v>0.15</v>
      </c>
      <c r="K829" s="8" t="n">
        <f aca="false">H829*I829*(1-J829)</f>
        <v>1020</v>
      </c>
      <c r="L829" s="6" t="n">
        <f aca="false">H829*INDEX(Products!$E$2:$E$9,MATCH(E829,Products!$A$2:$A$9,0))</f>
        <v>790</v>
      </c>
      <c r="M829" s="8" t="n">
        <f aca="false">K829-L829</f>
        <v>230</v>
      </c>
      <c r="N829" s="2" t="s">
        <v>28</v>
      </c>
      <c r="O829" s="2" t="s">
        <v>20</v>
      </c>
    </row>
    <row r="830" customFormat="false" ht="15" hidden="false" customHeight="false" outlineLevel="0" collapsed="false">
      <c r="A830" s="2" t="s">
        <v>884</v>
      </c>
      <c r="B830" s="3" t="n">
        <v>46000</v>
      </c>
      <c r="C830" s="2" t="s">
        <v>16</v>
      </c>
      <c r="D830" s="2" t="s">
        <v>22</v>
      </c>
      <c r="E830" s="2" t="s">
        <v>32</v>
      </c>
      <c r="F830" s="4" t="str">
        <f aca="false">INDEX(Products!$B$2:$B$9,MATCH(E830,Products!$A$2:$A$9,0))</f>
        <v>Analytics Plus</v>
      </c>
      <c r="G830" s="4" t="str">
        <f aca="false">INDEX(Products!$C$2:$C$9,MATCH(E830,Products!$A$2:$A$9,0))</f>
        <v>Software</v>
      </c>
      <c r="H830" s="5" t="n">
        <v>3</v>
      </c>
      <c r="I830" s="6" t="n">
        <f aca="false">INDEX(Products!$D$2:$D$9,MATCH(E830,Products!$A$2:$A$9,0))</f>
        <v>290</v>
      </c>
      <c r="J830" s="7" t="n">
        <v>0.15</v>
      </c>
      <c r="K830" s="8" t="n">
        <f aca="false">H830*I830*(1-J830)</f>
        <v>739.5</v>
      </c>
      <c r="L830" s="6" t="n">
        <f aca="false">H830*INDEX(Products!$E$2:$E$9,MATCH(E830,Products!$A$2:$A$9,0))</f>
        <v>123</v>
      </c>
      <c r="M830" s="8" t="n">
        <f aca="false">K830-L830</f>
        <v>616.5</v>
      </c>
      <c r="N830" s="2" t="s">
        <v>28</v>
      </c>
      <c r="O830" s="2" t="s">
        <v>36</v>
      </c>
    </row>
    <row r="831" customFormat="false" ht="15" hidden="false" customHeight="false" outlineLevel="0" collapsed="false">
      <c r="A831" s="2" t="s">
        <v>885</v>
      </c>
      <c r="B831" s="3" t="n">
        <v>46000</v>
      </c>
      <c r="C831" s="2" t="s">
        <v>41</v>
      </c>
      <c r="D831" s="2" t="s">
        <v>66</v>
      </c>
      <c r="E831" s="2" t="s">
        <v>18</v>
      </c>
      <c r="F831" s="4" t="str">
        <f aca="false">INDEX(Products!$B$2:$B$9,MATCH(E831,Products!$A$2:$A$9,0))</f>
        <v>Sensor Hub Pro</v>
      </c>
      <c r="G831" s="4" t="str">
        <f aca="false">INDEX(Products!$C$2:$C$9,MATCH(E831,Products!$A$2:$A$9,0))</f>
        <v>Hardware</v>
      </c>
      <c r="H831" s="5" t="n">
        <v>1</v>
      </c>
      <c r="I831" s="6" t="n">
        <f aca="false">INDEX(Products!$D$2:$D$9,MATCH(E831,Products!$A$2:$A$9,0))</f>
        <v>349</v>
      </c>
      <c r="J831" s="7" t="n">
        <v>0.15</v>
      </c>
      <c r="K831" s="8" t="n">
        <f aca="false">H831*I831*(1-J831)</f>
        <v>296.65</v>
      </c>
      <c r="L831" s="6" t="n">
        <f aca="false">H831*INDEX(Products!$E$2:$E$9,MATCH(E831,Products!$A$2:$A$9,0))</f>
        <v>201</v>
      </c>
      <c r="M831" s="8" t="n">
        <f aca="false">K831-L831</f>
        <v>95.65</v>
      </c>
      <c r="N831" s="2" t="s">
        <v>28</v>
      </c>
      <c r="O831" s="2" t="s">
        <v>43</v>
      </c>
    </row>
    <row r="832" customFormat="false" ht="15" hidden="false" customHeight="false" outlineLevel="0" collapsed="false">
      <c r="A832" s="2" t="s">
        <v>886</v>
      </c>
      <c r="B832" s="3" t="n">
        <v>46001</v>
      </c>
      <c r="C832" s="2" t="s">
        <v>41</v>
      </c>
      <c r="D832" s="2" t="s">
        <v>42</v>
      </c>
      <c r="E832" s="2" t="s">
        <v>26</v>
      </c>
      <c r="F832" s="4" t="str">
        <f aca="false">INDEX(Products!$B$2:$B$9,MATCH(E832,Products!$A$2:$A$9,0))</f>
        <v>Analytics Basic</v>
      </c>
      <c r="G832" s="4" t="str">
        <f aca="false">INDEX(Products!$C$2:$C$9,MATCH(E832,Products!$A$2:$A$9,0))</f>
        <v>Software</v>
      </c>
      <c r="H832" s="5" t="n">
        <v>2</v>
      </c>
      <c r="I832" s="6" t="n">
        <f aca="false">INDEX(Products!$D$2:$D$9,MATCH(E832,Products!$A$2:$A$9,0))</f>
        <v>120</v>
      </c>
      <c r="J832" s="7" t="n">
        <v>0.05</v>
      </c>
      <c r="K832" s="8" t="n">
        <f aca="false">H832*I832*(1-J832)</f>
        <v>228</v>
      </c>
      <c r="L832" s="6" t="n">
        <f aca="false">H832*INDEX(Products!$E$2:$E$9,MATCH(E832,Products!$A$2:$A$9,0))</f>
        <v>36</v>
      </c>
      <c r="M832" s="8" t="n">
        <f aca="false">K832-L832</f>
        <v>192</v>
      </c>
      <c r="N832" s="2" t="s">
        <v>28</v>
      </c>
      <c r="O832" s="2" t="s">
        <v>43</v>
      </c>
    </row>
    <row r="833" customFormat="false" ht="15" hidden="false" customHeight="false" outlineLevel="0" collapsed="false">
      <c r="A833" s="2" t="s">
        <v>887</v>
      </c>
      <c r="B833" s="3" t="n">
        <v>46001</v>
      </c>
      <c r="C833" s="2" t="s">
        <v>16</v>
      </c>
      <c r="D833" s="2" t="s">
        <v>17</v>
      </c>
      <c r="E833" s="2" t="s">
        <v>68</v>
      </c>
      <c r="F833" s="4" t="str">
        <f aca="false">INDEX(Products!$B$2:$B$9,MATCH(E833,Products!$A$2:$A$9,0))</f>
        <v>Premium Support</v>
      </c>
      <c r="G833" s="4" t="str">
        <f aca="false">INDEX(Products!$C$2:$C$9,MATCH(E833,Products!$A$2:$A$9,0))</f>
        <v>Services</v>
      </c>
      <c r="H833" s="5" t="n">
        <v>3</v>
      </c>
      <c r="I833" s="6" t="n">
        <f aca="false">INDEX(Products!$D$2:$D$9,MATCH(E833,Products!$A$2:$A$9,0))</f>
        <v>600</v>
      </c>
      <c r="J833" s="7" t="n">
        <v>0</v>
      </c>
      <c r="K833" s="8" t="n">
        <f aca="false">H833*I833*(1-J833)</f>
        <v>1800</v>
      </c>
      <c r="L833" s="6" t="n">
        <f aca="false">H833*INDEX(Products!$E$2:$E$9,MATCH(E833,Products!$A$2:$A$9,0))</f>
        <v>1185</v>
      </c>
      <c r="M833" s="8" t="n">
        <f aca="false">K833-L833</f>
        <v>615</v>
      </c>
      <c r="N833" s="2" t="s">
        <v>28</v>
      </c>
      <c r="O833" s="2" t="s">
        <v>20</v>
      </c>
    </row>
    <row r="834" customFormat="false" ht="15" hidden="false" customHeight="false" outlineLevel="0" collapsed="false">
      <c r="A834" s="2" t="s">
        <v>888</v>
      </c>
      <c r="B834" s="3" t="n">
        <v>46001</v>
      </c>
      <c r="C834" s="2" t="s">
        <v>16</v>
      </c>
      <c r="D834" s="2" t="s">
        <v>35</v>
      </c>
      <c r="E834" s="2" t="s">
        <v>23</v>
      </c>
      <c r="F834" s="4" t="str">
        <f aca="false">INDEX(Products!$B$2:$B$9,MATCH(E834,Products!$A$2:$A$9,0))</f>
        <v>Sensor Hub S</v>
      </c>
      <c r="G834" s="4" t="str">
        <f aca="false">INDEX(Products!$C$2:$C$9,MATCH(E834,Products!$A$2:$A$9,0))</f>
        <v>Hardware</v>
      </c>
      <c r="H834" s="5" t="n">
        <v>1</v>
      </c>
      <c r="I834" s="6" t="n">
        <f aca="false">INDEX(Products!$D$2:$D$9,MATCH(E834,Products!$A$2:$A$9,0))</f>
        <v>189</v>
      </c>
      <c r="J834" s="7" t="n">
        <v>0.15</v>
      </c>
      <c r="K834" s="8" t="n">
        <f aca="false">H834*I834*(1-J834)</f>
        <v>160.65</v>
      </c>
      <c r="L834" s="6" t="n">
        <f aca="false">H834*INDEX(Products!$E$2:$E$9,MATCH(E834,Products!$A$2:$A$9,0))</f>
        <v>98</v>
      </c>
      <c r="M834" s="8" t="n">
        <f aca="false">K834-L834</f>
        <v>62.65</v>
      </c>
      <c r="N834" s="2" t="s">
        <v>19</v>
      </c>
      <c r="O834" s="2" t="s">
        <v>20</v>
      </c>
    </row>
    <row r="835" customFormat="false" ht="15" hidden="false" customHeight="false" outlineLevel="0" collapsed="false">
      <c r="A835" s="2" t="s">
        <v>889</v>
      </c>
      <c r="B835" s="3" t="n">
        <v>46001</v>
      </c>
      <c r="C835" s="2" t="s">
        <v>41</v>
      </c>
      <c r="D835" s="2" t="s">
        <v>42</v>
      </c>
      <c r="E835" s="2" t="s">
        <v>61</v>
      </c>
      <c r="F835" s="4" t="str">
        <f aca="false">INDEX(Products!$B$2:$B$9,MATCH(E835,Products!$A$2:$A$9,0))</f>
        <v>Install Service</v>
      </c>
      <c r="G835" s="4" t="str">
        <f aca="false">INDEX(Products!$C$2:$C$9,MATCH(E835,Products!$A$2:$A$9,0))</f>
        <v>Services</v>
      </c>
      <c r="H835" s="5" t="n">
        <v>2</v>
      </c>
      <c r="I835" s="6" t="n">
        <f aca="false">INDEX(Products!$D$2:$D$9,MATCH(E835,Products!$A$2:$A$9,0))</f>
        <v>450</v>
      </c>
      <c r="J835" s="7" t="n">
        <v>0.1</v>
      </c>
      <c r="K835" s="8" t="n">
        <f aca="false">H835*I835*(1-J835)</f>
        <v>810</v>
      </c>
      <c r="L835" s="6" t="n">
        <f aca="false">H835*INDEX(Products!$E$2:$E$9,MATCH(E835,Products!$A$2:$A$9,0))</f>
        <v>620</v>
      </c>
      <c r="M835" s="8" t="n">
        <f aca="false">K835-L835</f>
        <v>190</v>
      </c>
      <c r="N835" s="2" t="s">
        <v>19</v>
      </c>
      <c r="O835" s="2" t="s">
        <v>52</v>
      </c>
    </row>
    <row r="836" customFormat="false" ht="15" hidden="false" customHeight="false" outlineLevel="0" collapsed="false">
      <c r="A836" s="2" t="s">
        <v>890</v>
      </c>
      <c r="B836" s="3" t="n">
        <v>46001</v>
      </c>
      <c r="C836" s="2" t="s">
        <v>47</v>
      </c>
      <c r="D836" s="2" t="s">
        <v>48</v>
      </c>
      <c r="E836" s="2" t="s">
        <v>26</v>
      </c>
      <c r="F836" s="4" t="str">
        <f aca="false">INDEX(Products!$B$2:$B$9,MATCH(E836,Products!$A$2:$A$9,0))</f>
        <v>Analytics Basic</v>
      </c>
      <c r="G836" s="4" t="str">
        <f aca="false">INDEX(Products!$C$2:$C$9,MATCH(E836,Products!$A$2:$A$9,0))</f>
        <v>Software</v>
      </c>
      <c r="H836" s="5" t="n">
        <v>1</v>
      </c>
      <c r="I836" s="6" t="n">
        <f aca="false">INDEX(Products!$D$2:$D$9,MATCH(E836,Products!$A$2:$A$9,0))</f>
        <v>120</v>
      </c>
      <c r="J836" s="7" t="n">
        <v>0.1</v>
      </c>
      <c r="K836" s="8" t="n">
        <f aca="false">H836*I836*(1-J836)</f>
        <v>108</v>
      </c>
      <c r="L836" s="6" t="n">
        <f aca="false">H836*INDEX(Products!$E$2:$E$9,MATCH(E836,Products!$A$2:$A$9,0))</f>
        <v>18</v>
      </c>
      <c r="M836" s="8" t="n">
        <f aca="false">K836-L836</f>
        <v>90</v>
      </c>
      <c r="N836" s="2" t="s">
        <v>19</v>
      </c>
      <c r="O836" s="2" t="s">
        <v>50</v>
      </c>
    </row>
    <row r="837" customFormat="false" ht="15" hidden="false" customHeight="false" outlineLevel="0" collapsed="false">
      <c r="A837" s="2" t="s">
        <v>891</v>
      </c>
      <c r="B837" s="3" t="n">
        <v>46002</v>
      </c>
      <c r="C837" s="2" t="s">
        <v>30</v>
      </c>
      <c r="D837" s="2" t="s">
        <v>31</v>
      </c>
      <c r="E837" s="2" t="s">
        <v>18</v>
      </c>
      <c r="F837" s="4" t="str">
        <f aca="false">INDEX(Products!$B$2:$B$9,MATCH(E837,Products!$A$2:$A$9,0))</f>
        <v>Sensor Hub Pro</v>
      </c>
      <c r="G837" s="4" t="str">
        <f aca="false">INDEX(Products!$C$2:$C$9,MATCH(E837,Products!$A$2:$A$9,0))</f>
        <v>Hardware</v>
      </c>
      <c r="H837" s="5" t="n">
        <v>5</v>
      </c>
      <c r="I837" s="6" t="n">
        <f aca="false">INDEX(Products!$D$2:$D$9,MATCH(E837,Products!$A$2:$A$9,0))</f>
        <v>349</v>
      </c>
      <c r="J837" s="7" t="n">
        <v>0</v>
      </c>
      <c r="K837" s="8" t="n">
        <f aca="false">H837*I837*(1-J837)</f>
        <v>1745</v>
      </c>
      <c r="L837" s="6" t="n">
        <f aca="false">H837*INDEX(Products!$E$2:$E$9,MATCH(E837,Products!$A$2:$A$9,0))</f>
        <v>1005</v>
      </c>
      <c r="M837" s="8" t="n">
        <f aca="false">K837-L837</f>
        <v>740</v>
      </c>
      <c r="N837" s="2" t="s">
        <v>28</v>
      </c>
      <c r="O837" s="2" t="s">
        <v>64</v>
      </c>
    </row>
    <row r="838" customFormat="false" ht="15" hidden="false" customHeight="false" outlineLevel="0" collapsed="false">
      <c r="A838" s="2" t="s">
        <v>892</v>
      </c>
      <c r="B838" s="3" t="n">
        <v>46002</v>
      </c>
      <c r="C838" s="2" t="s">
        <v>59</v>
      </c>
      <c r="D838" s="2" t="s">
        <v>60</v>
      </c>
      <c r="E838" s="2" t="s">
        <v>49</v>
      </c>
      <c r="F838" s="4" t="str">
        <f aca="false">INDEX(Products!$B$2:$B$9,MATCH(E838,Products!$A$2:$A$9,0))</f>
        <v>Mounting Kit</v>
      </c>
      <c r="G838" s="4" t="str">
        <f aca="false">INDEX(Products!$C$2:$C$9,MATCH(E838,Products!$A$2:$A$9,0))</f>
        <v>Accessories</v>
      </c>
      <c r="H838" s="5" t="n">
        <v>12</v>
      </c>
      <c r="I838" s="6" t="n">
        <f aca="false">INDEX(Products!$D$2:$D$9,MATCH(E838,Products!$A$2:$A$9,0))</f>
        <v>39</v>
      </c>
      <c r="J838" s="7" t="n">
        <v>0.15</v>
      </c>
      <c r="K838" s="8" t="n">
        <f aca="false">H838*I838*(1-J838)</f>
        <v>397.8</v>
      </c>
      <c r="L838" s="6" t="n">
        <f aca="false">H838*INDEX(Products!$E$2:$E$9,MATCH(E838,Products!$A$2:$A$9,0))</f>
        <v>378</v>
      </c>
      <c r="M838" s="8" t="n">
        <f aca="false">K838-L838</f>
        <v>19.8</v>
      </c>
      <c r="N838" s="2" t="s">
        <v>28</v>
      </c>
      <c r="O838" s="2" t="s">
        <v>62</v>
      </c>
    </row>
    <row r="839" customFormat="false" ht="15" hidden="false" customHeight="false" outlineLevel="0" collapsed="false">
      <c r="A839" s="2" t="s">
        <v>893</v>
      </c>
      <c r="B839" s="3" t="n">
        <v>46002</v>
      </c>
      <c r="C839" s="2" t="s">
        <v>47</v>
      </c>
      <c r="D839" s="2" t="s">
        <v>55</v>
      </c>
      <c r="E839" s="2" t="s">
        <v>32</v>
      </c>
      <c r="F839" s="4" t="str">
        <f aca="false">INDEX(Products!$B$2:$B$9,MATCH(E839,Products!$A$2:$A$9,0))</f>
        <v>Analytics Plus</v>
      </c>
      <c r="G839" s="4" t="str">
        <f aca="false">INDEX(Products!$C$2:$C$9,MATCH(E839,Products!$A$2:$A$9,0))</f>
        <v>Software</v>
      </c>
      <c r="H839" s="5" t="n">
        <v>1</v>
      </c>
      <c r="I839" s="6" t="n">
        <f aca="false">INDEX(Products!$D$2:$D$9,MATCH(E839,Products!$A$2:$A$9,0))</f>
        <v>290</v>
      </c>
      <c r="J839" s="7" t="n">
        <v>0</v>
      </c>
      <c r="K839" s="8" t="n">
        <f aca="false">H839*I839*(1-J839)</f>
        <v>290</v>
      </c>
      <c r="L839" s="6" t="n">
        <f aca="false">H839*INDEX(Products!$E$2:$E$9,MATCH(E839,Products!$A$2:$A$9,0))</f>
        <v>41</v>
      </c>
      <c r="M839" s="8" t="n">
        <f aca="false">K839-L839</f>
        <v>249</v>
      </c>
      <c r="N839" s="2" t="s">
        <v>28</v>
      </c>
      <c r="O839" s="2" t="s">
        <v>72</v>
      </c>
    </row>
    <row r="840" customFormat="false" ht="15" hidden="false" customHeight="false" outlineLevel="0" collapsed="false">
      <c r="A840" s="2" t="s">
        <v>894</v>
      </c>
      <c r="B840" s="3" t="n">
        <v>46002</v>
      </c>
      <c r="C840" s="2" t="s">
        <v>41</v>
      </c>
      <c r="D840" s="2" t="s">
        <v>42</v>
      </c>
      <c r="E840" s="2" t="s">
        <v>49</v>
      </c>
      <c r="F840" s="4" t="str">
        <f aca="false">INDEX(Products!$B$2:$B$9,MATCH(E840,Products!$A$2:$A$9,0))</f>
        <v>Mounting Kit</v>
      </c>
      <c r="G840" s="4" t="str">
        <f aca="false">INDEX(Products!$C$2:$C$9,MATCH(E840,Products!$A$2:$A$9,0))</f>
        <v>Accessories</v>
      </c>
      <c r="H840" s="5" t="n">
        <v>8</v>
      </c>
      <c r="I840" s="6" t="n">
        <f aca="false">INDEX(Products!$D$2:$D$9,MATCH(E840,Products!$A$2:$A$9,0))</f>
        <v>39</v>
      </c>
      <c r="J840" s="7" t="n">
        <v>0</v>
      </c>
      <c r="K840" s="8" t="n">
        <f aca="false">H840*I840*(1-J840)</f>
        <v>312</v>
      </c>
      <c r="L840" s="6" t="n">
        <f aca="false">H840*INDEX(Products!$E$2:$E$9,MATCH(E840,Products!$A$2:$A$9,0))</f>
        <v>252</v>
      </c>
      <c r="M840" s="8" t="n">
        <f aca="false">K840-L840</f>
        <v>60</v>
      </c>
      <c r="N840" s="2" t="s">
        <v>28</v>
      </c>
      <c r="O840" s="2" t="s">
        <v>43</v>
      </c>
    </row>
    <row r="841" customFormat="false" ht="15" hidden="false" customHeight="false" outlineLevel="0" collapsed="false">
      <c r="A841" s="2" t="s">
        <v>895</v>
      </c>
      <c r="B841" s="3" t="n">
        <v>46003</v>
      </c>
      <c r="C841" s="2" t="s">
        <v>41</v>
      </c>
      <c r="D841" s="2" t="s">
        <v>66</v>
      </c>
      <c r="E841" s="2" t="s">
        <v>18</v>
      </c>
      <c r="F841" s="4" t="str">
        <f aca="false">INDEX(Products!$B$2:$B$9,MATCH(E841,Products!$A$2:$A$9,0))</f>
        <v>Sensor Hub Pro</v>
      </c>
      <c r="G841" s="4" t="str">
        <f aca="false">INDEX(Products!$C$2:$C$9,MATCH(E841,Products!$A$2:$A$9,0))</f>
        <v>Hardware</v>
      </c>
      <c r="H841" s="5" t="n">
        <v>5</v>
      </c>
      <c r="I841" s="6" t="n">
        <f aca="false">INDEX(Products!$D$2:$D$9,MATCH(E841,Products!$A$2:$A$9,0))</f>
        <v>349</v>
      </c>
      <c r="J841" s="7" t="n">
        <v>0.05</v>
      </c>
      <c r="K841" s="8" t="n">
        <f aca="false">H841*I841*(1-J841)</f>
        <v>1657.75</v>
      </c>
      <c r="L841" s="6" t="n">
        <f aca="false">H841*INDEX(Products!$E$2:$E$9,MATCH(E841,Products!$A$2:$A$9,0))</f>
        <v>1005</v>
      </c>
      <c r="M841" s="8" t="n">
        <f aca="false">K841-L841</f>
        <v>652.75</v>
      </c>
      <c r="N841" s="2" t="s">
        <v>28</v>
      </c>
      <c r="O841" s="2" t="s">
        <v>43</v>
      </c>
    </row>
    <row r="842" customFormat="false" ht="15" hidden="false" customHeight="false" outlineLevel="0" collapsed="false">
      <c r="A842" s="2" t="s">
        <v>896</v>
      </c>
      <c r="B842" s="3" t="n">
        <v>46003</v>
      </c>
      <c r="C842" s="2" t="s">
        <v>16</v>
      </c>
      <c r="D842" s="2" t="s">
        <v>17</v>
      </c>
      <c r="E842" s="2" t="s">
        <v>23</v>
      </c>
      <c r="F842" s="4" t="str">
        <f aca="false">INDEX(Products!$B$2:$B$9,MATCH(E842,Products!$A$2:$A$9,0))</f>
        <v>Sensor Hub S</v>
      </c>
      <c r="G842" s="4" t="str">
        <f aca="false">INDEX(Products!$C$2:$C$9,MATCH(E842,Products!$A$2:$A$9,0))</f>
        <v>Hardware</v>
      </c>
      <c r="H842" s="5" t="n">
        <v>10</v>
      </c>
      <c r="I842" s="6" t="n">
        <f aca="false">INDEX(Products!$D$2:$D$9,MATCH(E842,Products!$A$2:$A$9,0))</f>
        <v>189</v>
      </c>
      <c r="J842" s="7" t="n">
        <v>0.15</v>
      </c>
      <c r="K842" s="8" t="n">
        <f aca="false">H842*I842*(1-J842)</f>
        <v>1606.5</v>
      </c>
      <c r="L842" s="6" t="n">
        <f aca="false">H842*INDEX(Products!$E$2:$E$9,MATCH(E842,Products!$A$2:$A$9,0))</f>
        <v>980</v>
      </c>
      <c r="M842" s="8" t="n">
        <f aca="false">K842-L842</f>
        <v>626.5</v>
      </c>
      <c r="N842" s="2" t="s">
        <v>28</v>
      </c>
      <c r="O842" s="2" t="s">
        <v>20</v>
      </c>
    </row>
    <row r="843" customFormat="false" ht="15" hidden="false" customHeight="false" outlineLevel="0" collapsed="false">
      <c r="A843" s="2" t="s">
        <v>897</v>
      </c>
      <c r="B843" s="3" t="n">
        <v>46003</v>
      </c>
      <c r="C843" s="2" t="s">
        <v>47</v>
      </c>
      <c r="D843" s="2" t="s">
        <v>157</v>
      </c>
      <c r="E843" s="2" t="s">
        <v>23</v>
      </c>
      <c r="F843" s="4" t="str">
        <f aca="false">INDEX(Products!$B$2:$B$9,MATCH(E843,Products!$A$2:$A$9,0))</f>
        <v>Sensor Hub S</v>
      </c>
      <c r="G843" s="4" t="str">
        <f aca="false">INDEX(Products!$C$2:$C$9,MATCH(E843,Products!$A$2:$A$9,0))</f>
        <v>Hardware</v>
      </c>
      <c r="H843" s="5" t="n">
        <v>2</v>
      </c>
      <c r="I843" s="6" t="n">
        <f aca="false">INDEX(Products!$D$2:$D$9,MATCH(E843,Products!$A$2:$A$9,0))</f>
        <v>189</v>
      </c>
      <c r="J843" s="7" t="n">
        <v>0.15</v>
      </c>
      <c r="K843" s="8" t="n">
        <f aca="false">H843*I843*(1-J843)</f>
        <v>321.3</v>
      </c>
      <c r="L843" s="6" t="n">
        <f aca="false">H843*INDEX(Products!$E$2:$E$9,MATCH(E843,Products!$A$2:$A$9,0))</f>
        <v>196</v>
      </c>
      <c r="M843" s="8" t="n">
        <f aca="false">K843-L843</f>
        <v>125.3</v>
      </c>
      <c r="N843" s="2" t="s">
        <v>19</v>
      </c>
      <c r="O843" s="2" t="s">
        <v>50</v>
      </c>
    </row>
    <row r="844" customFormat="false" ht="15" hidden="false" customHeight="false" outlineLevel="0" collapsed="false">
      <c r="A844" s="2" t="s">
        <v>898</v>
      </c>
      <c r="B844" s="3" t="n">
        <v>46003</v>
      </c>
      <c r="C844" s="2" t="s">
        <v>16</v>
      </c>
      <c r="D844" s="2" t="s">
        <v>35</v>
      </c>
      <c r="E844" s="2" t="s">
        <v>32</v>
      </c>
      <c r="F844" s="4" t="str">
        <f aca="false">INDEX(Products!$B$2:$B$9,MATCH(E844,Products!$A$2:$A$9,0))</f>
        <v>Analytics Plus</v>
      </c>
      <c r="G844" s="4" t="str">
        <f aca="false">INDEX(Products!$C$2:$C$9,MATCH(E844,Products!$A$2:$A$9,0))</f>
        <v>Software</v>
      </c>
      <c r="H844" s="5" t="n">
        <v>1</v>
      </c>
      <c r="I844" s="6" t="n">
        <f aca="false">INDEX(Products!$D$2:$D$9,MATCH(E844,Products!$A$2:$A$9,0))</f>
        <v>290</v>
      </c>
      <c r="J844" s="7" t="n">
        <v>0</v>
      </c>
      <c r="K844" s="8" t="n">
        <f aca="false">H844*I844*(1-J844)</f>
        <v>290</v>
      </c>
      <c r="L844" s="6" t="n">
        <f aca="false">H844*INDEX(Products!$E$2:$E$9,MATCH(E844,Products!$A$2:$A$9,0))</f>
        <v>41</v>
      </c>
      <c r="M844" s="8" t="n">
        <f aca="false">K844-L844</f>
        <v>249</v>
      </c>
      <c r="N844" s="2" t="s">
        <v>28</v>
      </c>
      <c r="O844" s="2" t="s">
        <v>36</v>
      </c>
    </row>
    <row r="845" customFormat="false" ht="15" hidden="false" customHeight="false" outlineLevel="0" collapsed="false">
      <c r="A845" s="2" t="s">
        <v>899</v>
      </c>
      <c r="B845" s="3" t="n">
        <v>46006</v>
      </c>
      <c r="C845" s="2" t="s">
        <v>47</v>
      </c>
      <c r="D845" s="2" t="s">
        <v>71</v>
      </c>
      <c r="E845" s="2" t="s">
        <v>49</v>
      </c>
      <c r="F845" s="4" t="str">
        <f aca="false">INDEX(Products!$B$2:$B$9,MATCH(E845,Products!$A$2:$A$9,0))</f>
        <v>Mounting Kit</v>
      </c>
      <c r="G845" s="4" t="str">
        <f aca="false">INDEX(Products!$C$2:$C$9,MATCH(E845,Products!$A$2:$A$9,0))</f>
        <v>Accessories</v>
      </c>
      <c r="H845" s="5" t="n">
        <v>2</v>
      </c>
      <c r="I845" s="6" t="n">
        <f aca="false">INDEX(Products!$D$2:$D$9,MATCH(E845,Products!$A$2:$A$9,0))</f>
        <v>39</v>
      </c>
      <c r="J845" s="7" t="n">
        <v>0.05</v>
      </c>
      <c r="K845" s="8" t="n">
        <f aca="false">H845*I845*(1-J845)</f>
        <v>74.1</v>
      </c>
      <c r="L845" s="6" t="n">
        <f aca="false">H845*INDEX(Products!$E$2:$E$9,MATCH(E845,Products!$A$2:$A$9,0))</f>
        <v>63</v>
      </c>
      <c r="M845" s="8" t="n">
        <f aca="false">K845-L845</f>
        <v>11.1</v>
      </c>
      <c r="N845" s="2" t="s">
        <v>28</v>
      </c>
      <c r="O845" s="2" t="s">
        <v>72</v>
      </c>
    </row>
    <row r="846" customFormat="false" ht="15" hidden="false" customHeight="false" outlineLevel="0" collapsed="false">
      <c r="A846" s="2" t="s">
        <v>900</v>
      </c>
      <c r="B846" s="3" t="n">
        <v>46006</v>
      </c>
      <c r="C846" s="2" t="s">
        <v>47</v>
      </c>
      <c r="D846" s="2" t="s">
        <v>48</v>
      </c>
      <c r="E846" s="2" t="s">
        <v>23</v>
      </c>
      <c r="F846" s="4" t="str">
        <f aca="false">INDEX(Products!$B$2:$B$9,MATCH(E846,Products!$A$2:$A$9,0))</f>
        <v>Sensor Hub S</v>
      </c>
      <c r="G846" s="4" t="str">
        <f aca="false">INDEX(Products!$C$2:$C$9,MATCH(E846,Products!$A$2:$A$9,0))</f>
        <v>Hardware</v>
      </c>
      <c r="H846" s="5" t="n">
        <v>2</v>
      </c>
      <c r="I846" s="6" t="n">
        <f aca="false">INDEX(Products!$D$2:$D$9,MATCH(E846,Products!$A$2:$A$9,0))</f>
        <v>189</v>
      </c>
      <c r="J846" s="7" t="n">
        <v>0.1</v>
      </c>
      <c r="K846" s="8" t="n">
        <f aca="false">H846*I846*(1-J846)</f>
        <v>340.2</v>
      </c>
      <c r="L846" s="6" t="n">
        <f aca="false">H846*INDEX(Products!$E$2:$E$9,MATCH(E846,Products!$A$2:$A$9,0))</f>
        <v>196</v>
      </c>
      <c r="M846" s="8" t="n">
        <f aca="false">K846-L846</f>
        <v>144.2</v>
      </c>
      <c r="N846" s="2" t="s">
        <v>19</v>
      </c>
      <c r="O846" s="2" t="s">
        <v>50</v>
      </c>
    </row>
    <row r="847" customFormat="false" ht="15" hidden="false" customHeight="false" outlineLevel="0" collapsed="false">
      <c r="A847" s="2" t="s">
        <v>901</v>
      </c>
      <c r="B847" s="3" t="n">
        <v>46006</v>
      </c>
      <c r="C847" s="2" t="s">
        <v>16</v>
      </c>
      <c r="D847" s="2" t="s">
        <v>25</v>
      </c>
      <c r="E847" s="2" t="s">
        <v>32</v>
      </c>
      <c r="F847" s="4" t="str">
        <f aca="false">INDEX(Products!$B$2:$B$9,MATCH(E847,Products!$A$2:$A$9,0))</f>
        <v>Analytics Plus</v>
      </c>
      <c r="G847" s="4" t="str">
        <f aca="false">INDEX(Products!$C$2:$C$9,MATCH(E847,Products!$A$2:$A$9,0))</f>
        <v>Software</v>
      </c>
      <c r="H847" s="5" t="n">
        <v>1</v>
      </c>
      <c r="I847" s="6" t="n">
        <f aca="false">INDEX(Products!$D$2:$D$9,MATCH(E847,Products!$A$2:$A$9,0))</f>
        <v>290</v>
      </c>
      <c r="J847" s="7" t="n">
        <v>0</v>
      </c>
      <c r="K847" s="8" t="n">
        <f aca="false">H847*I847*(1-J847)</f>
        <v>290</v>
      </c>
      <c r="L847" s="6" t="n">
        <f aca="false">H847*INDEX(Products!$E$2:$E$9,MATCH(E847,Products!$A$2:$A$9,0))</f>
        <v>41</v>
      </c>
      <c r="M847" s="8" t="n">
        <f aca="false">K847-L847</f>
        <v>249</v>
      </c>
      <c r="N847" s="2" t="s">
        <v>28</v>
      </c>
      <c r="O847" s="2" t="s">
        <v>20</v>
      </c>
    </row>
    <row r="848" customFormat="false" ht="15" hidden="false" customHeight="false" outlineLevel="0" collapsed="false">
      <c r="A848" s="2" t="s">
        <v>902</v>
      </c>
      <c r="B848" s="3" t="n">
        <v>46006</v>
      </c>
      <c r="C848" s="2" t="s">
        <v>47</v>
      </c>
      <c r="D848" s="2" t="s">
        <v>48</v>
      </c>
      <c r="E848" s="2" t="s">
        <v>61</v>
      </c>
      <c r="F848" s="4" t="str">
        <f aca="false">INDEX(Products!$B$2:$B$9,MATCH(E848,Products!$A$2:$A$9,0))</f>
        <v>Install Service</v>
      </c>
      <c r="G848" s="4" t="str">
        <f aca="false">INDEX(Products!$C$2:$C$9,MATCH(E848,Products!$A$2:$A$9,0))</f>
        <v>Services</v>
      </c>
      <c r="H848" s="5" t="n">
        <v>1</v>
      </c>
      <c r="I848" s="6" t="n">
        <f aca="false">INDEX(Products!$D$2:$D$9,MATCH(E848,Products!$A$2:$A$9,0))</f>
        <v>450</v>
      </c>
      <c r="J848" s="7" t="n">
        <v>0.05</v>
      </c>
      <c r="K848" s="8" t="n">
        <f aca="false">H848*I848*(1-J848)</f>
        <v>427.5</v>
      </c>
      <c r="L848" s="6" t="n">
        <f aca="false">H848*INDEX(Products!$E$2:$E$9,MATCH(E848,Products!$A$2:$A$9,0))</f>
        <v>310</v>
      </c>
      <c r="M848" s="8" t="n">
        <f aca="false">K848-L848</f>
        <v>117.5</v>
      </c>
      <c r="N848" s="2" t="s">
        <v>38</v>
      </c>
      <c r="O848" s="2" t="s">
        <v>72</v>
      </c>
    </row>
    <row r="849" customFormat="false" ht="15" hidden="false" customHeight="false" outlineLevel="0" collapsed="false">
      <c r="A849" s="2" t="s">
        <v>903</v>
      </c>
      <c r="B849" s="3" t="n">
        <v>46006</v>
      </c>
      <c r="C849" s="2" t="s">
        <v>41</v>
      </c>
      <c r="D849" s="2" t="s">
        <v>66</v>
      </c>
      <c r="E849" s="2" t="s">
        <v>26</v>
      </c>
      <c r="F849" s="4" t="str">
        <f aca="false">INDEX(Products!$B$2:$B$9,MATCH(E849,Products!$A$2:$A$9,0))</f>
        <v>Analytics Basic</v>
      </c>
      <c r="G849" s="4" t="str">
        <f aca="false">INDEX(Products!$C$2:$C$9,MATCH(E849,Products!$A$2:$A$9,0))</f>
        <v>Software</v>
      </c>
      <c r="H849" s="5" t="n">
        <v>1</v>
      </c>
      <c r="I849" s="6" t="n">
        <f aca="false">INDEX(Products!$D$2:$D$9,MATCH(E849,Products!$A$2:$A$9,0))</f>
        <v>120</v>
      </c>
      <c r="J849" s="7" t="n">
        <v>0.15</v>
      </c>
      <c r="K849" s="8" t="n">
        <f aca="false">H849*I849*(1-J849)</f>
        <v>102</v>
      </c>
      <c r="L849" s="6" t="n">
        <f aca="false">H849*INDEX(Products!$E$2:$E$9,MATCH(E849,Products!$A$2:$A$9,0))</f>
        <v>18</v>
      </c>
      <c r="M849" s="8" t="n">
        <f aca="false">K849-L849</f>
        <v>84</v>
      </c>
      <c r="N849" s="2" t="s">
        <v>28</v>
      </c>
      <c r="O849" s="2" t="s">
        <v>43</v>
      </c>
    </row>
    <row r="850" customFormat="false" ht="15" hidden="false" customHeight="false" outlineLevel="0" collapsed="false">
      <c r="A850" s="2" t="s">
        <v>904</v>
      </c>
      <c r="B850" s="3" t="n">
        <v>46007</v>
      </c>
      <c r="C850" s="2" t="s">
        <v>41</v>
      </c>
      <c r="D850" s="2" t="s">
        <v>42</v>
      </c>
      <c r="E850" s="2" t="s">
        <v>68</v>
      </c>
      <c r="F850" s="4" t="str">
        <f aca="false">INDEX(Products!$B$2:$B$9,MATCH(E850,Products!$A$2:$A$9,0))</f>
        <v>Premium Support</v>
      </c>
      <c r="G850" s="4" t="str">
        <f aca="false">INDEX(Products!$C$2:$C$9,MATCH(E850,Products!$A$2:$A$9,0))</f>
        <v>Services</v>
      </c>
      <c r="H850" s="5" t="n">
        <v>1</v>
      </c>
      <c r="I850" s="6" t="n">
        <f aca="false">INDEX(Products!$D$2:$D$9,MATCH(E850,Products!$A$2:$A$9,0))</f>
        <v>600</v>
      </c>
      <c r="J850" s="7" t="n">
        <v>0.05</v>
      </c>
      <c r="K850" s="8" t="n">
        <f aca="false">H850*I850*(1-J850)</f>
        <v>570</v>
      </c>
      <c r="L850" s="6" t="n">
        <f aca="false">H850*INDEX(Products!$E$2:$E$9,MATCH(E850,Products!$A$2:$A$9,0))</f>
        <v>395</v>
      </c>
      <c r="M850" s="8" t="n">
        <f aca="false">K850-L850</f>
        <v>175</v>
      </c>
      <c r="N850" s="2" t="s">
        <v>28</v>
      </c>
      <c r="O850" s="2" t="s">
        <v>43</v>
      </c>
    </row>
    <row r="851" customFormat="false" ht="15" hidden="false" customHeight="false" outlineLevel="0" collapsed="false">
      <c r="A851" s="2" t="s">
        <v>905</v>
      </c>
      <c r="B851" s="3" t="n">
        <v>46007</v>
      </c>
      <c r="C851" s="2" t="s">
        <v>47</v>
      </c>
      <c r="D851" s="2" t="s">
        <v>55</v>
      </c>
      <c r="E851" s="2" t="s">
        <v>26</v>
      </c>
      <c r="F851" s="4" t="str">
        <f aca="false">INDEX(Products!$B$2:$B$9,MATCH(E851,Products!$A$2:$A$9,0))</f>
        <v>Analytics Basic</v>
      </c>
      <c r="G851" s="4" t="str">
        <f aca="false">INDEX(Products!$C$2:$C$9,MATCH(E851,Products!$A$2:$A$9,0))</f>
        <v>Software</v>
      </c>
      <c r="H851" s="5" t="n">
        <v>3</v>
      </c>
      <c r="I851" s="6" t="n">
        <f aca="false">INDEX(Products!$D$2:$D$9,MATCH(E851,Products!$A$2:$A$9,0))</f>
        <v>120</v>
      </c>
      <c r="J851" s="7" t="n">
        <v>0.05</v>
      </c>
      <c r="K851" s="8" t="n">
        <f aca="false">H851*I851*(1-J851)</f>
        <v>342</v>
      </c>
      <c r="L851" s="6" t="n">
        <f aca="false">H851*INDEX(Products!$E$2:$E$9,MATCH(E851,Products!$A$2:$A$9,0))</f>
        <v>54</v>
      </c>
      <c r="M851" s="8" t="n">
        <f aca="false">K851-L851</f>
        <v>288</v>
      </c>
      <c r="N851" s="2" t="s">
        <v>38</v>
      </c>
      <c r="O851" s="2" t="s">
        <v>50</v>
      </c>
    </row>
    <row r="852" customFormat="false" ht="15" hidden="false" customHeight="false" outlineLevel="0" collapsed="false">
      <c r="A852" s="2" t="s">
        <v>906</v>
      </c>
      <c r="B852" s="3" t="n">
        <v>46007</v>
      </c>
      <c r="C852" s="2" t="s">
        <v>59</v>
      </c>
      <c r="D852" s="2" t="s">
        <v>101</v>
      </c>
      <c r="E852" s="2" t="s">
        <v>23</v>
      </c>
      <c r="F852" s="4" t="str">
        <f aca="false">INDEX(Products!$B$2:$B$9,MATCH(E852,Products!$A$2:$A$9,0))</f>
        <v>Sensor Hub S</v>
      </c>
      <c r="G852" s="4" t="str">
        <f aca="false">INDEX(Products!$C$2:$C$9,MATCH(E852,Products!$A$2:$A$9,0))</f>
        <v>Hardware</v>
      </c>
      <c r="H852" s="5" t="n">
        <v>8</v>
      </c>
      <c r="I852" s="6" t="n">
        <f aca="false">INDEX(Products!$D$2:$D$9,MATCH(E852,Products!$A$2:$A$9,0))</f>
        <v>189</v>
      </c>
      <c r="J852" s="7" t="n">
        <v>0.15</v>
      </c>
      <c r="K852" s="8" t="n">
        <f aca="false">H852*I852*(1-J852)</f>
        <v>1285.2</v>
      </c>
      <c r="L852" s="6" t="n">
        <f aca="false">H852*INDEX(Products!$E$2:$E$9,MATCH(E852,Products!$A$2:$A$9,0))</f>
        <v>784</v>
      </c>
      <c r="M852" s="8" t="n">
        <f aca="false">K852-L852</f>
        <v>501.2</v>
      </c>
      <c r="N852" s="2" t="s">
        <v>19</v>
      </c>
      <c r="O852" s="2" t="s">
        <v>62</v>
      </c>
    </row>
    <row r="853" customFormat="false" ht="15" hidden="false" customHeight="false" outlineLevel="0" collapsed="false">
      <c r="A853" s="2" t="s">
        <v>907</v>
      </c>
      <c r="B853" s="3" t="n">
        <v>46007</v>
      </c>
      <c r="C853" s="2" t="s">
        <v>47</v>
      </c>
      <c r="D853" s="2" t="s">
        <v>71</v>
      </c>
      <c r="E853" s="2" t="s">
        <v>26</v>
      </c>
      <c r="F853" s="4" t="str">
        <f aca="false">INDEX(Products!$B$2:$B$9,MATCH(E853,Products!$A$2:$A$9,0))</f>
        <v>Analytics Basic</v>
      </c>
      <c r="G853" s="4" t="str">
        <f aca="false">INDEX(Products!$C$2:$C$9,MATCH(E853,Products!$A$2:$A$9,0))</f>
        <v>Software</v>
      </c>
      <c r="H853" s="5" t="n">
        <v>5</v>
      </c>
      <c r="I853" s="6" t="n">
        <f aca="false">INDEX(Products!$D$2:$D$9,MATCH(E853,Products!$A$2:$A$9,0))</f>
        <v>120</v>
      </c>
      <c r="J853" s="7" t="n">
        <v>0.15</v>
      </c>
      <c r="K853" s="8" t="n">
        <f aca="false">H853*I853*(1-J853)</f>
        <v>510</v>
      </c>
      <c r="L853" s="6" t="n">
        <f aca="false">H853*INDEX(Products!$E$2:$E$9,MATCH(E853,Products!$A$2:$A$9,0))</f>
        <v>90</v>
      </c>
      <c r="M853" s="8" t="n">
        <f aca="false">K853-L853</f>
        <v>420</v>
      </c>
      <c r="N853" s="2" t="s">
        <v>19</v>
      </c>
      <c r="O853" s="2" t="s">
        <v>72</v>
      </c>
    </row>
    <row r="854" customFormat="false" ht="15" hidden="false" customHeight="false" outlineLevel="0" collapsed="false">
      <c r="A854" s="2" t="s">
        <v>908</v>
      </c>
      <c r="B854" s="3" t="n">
        <v>46007</v>
      </c>
      <c r="C854" s="2" t="s">
        <v>16</v>
      </c>
      <c r="D854" s="2" t="s">
        <v>22</v>
      </c>
      <c r="E854" s="2" t="s">
        <v>61</v>
      </c>
      <c r="F854" s="4" t="str">
        <f aca="false">INDEX(Products!$B$2:$B$9,MATCH(E854,Products!$A$2:$A$9,0))</f>
        <v>Install Service</v>
      </c>
      <c r="G854" s="4" t="str">
        <f aca="false">INDEX(Products!$C$2:$C$9,MATCH(E854,Products!$A$2:$A$9,0))</f>
        <v>Services</v>
      </c>
      <c r="H854" s="5" t="n">
        <v>5</v>
      </c>
      <c r="I854" s="6" t="n">
        <f aca="false">INDEX(Products!$D$2:$D$9,MATCH(E854,Products!$A$2:$A$9,0))</f>
        <v>450</v>
      </c>
      <c r="J854" s="7" t="n">
        <v>0.1</v>
      </c>
      <c r="K854" s="8" t="n">
        <f aca="false">H854*I854*(1-J854)</f>
        <v>2025</v>
      </c>
      <c r="L854" s="6" t="n">
        <f aca="false">H854*INDEX(Products!$E$2:$E$9,MATCH(E854,Products!$A$2:$A$9,0))</f>
        <v>1550</v>
      </c>
      <c r="M854" s="8" t="n">
        <f aca="false">K854-L854</f>
        <v>475</v>
      </c>
      <c r="N854" s="2" t="s">
        <v>19</v>
      </c>
      <c r="O854" s="2" t="s">
        <v>20</v>
      </c>
    </row>
    <row r="855" customFormat="false" ht="15" hidden="false" customHeight="false" outlineLevel="0" collapsed="false">
      <c r="A855" s="2" t="s">
        <v>909</v>
      </c>
      <c r="B855" s="3" t="n">
        <v>46007</v>
      </c>
      <c r="C855" s="2" t="s">
        <v>16</v>
      </c>
      <c r="D855" s="2" t="s">
        <v>35</v>
      </c>
      <c r="E855" s="2" t="s">
        <v>32</v>
      </c>
      <c r="F855" s="4" t="str">
        <f aca="false">INDEX(Products!$B$2:$B$9,MATCH(E855,Products!$A$2:$A$9,0))</f>
        <v>Analytics Plus</v>
      </c>
      <c r="G855" s="4" t="str">
        <f aca="false">INDEX(Products!$C$2:$C$9,MATCH(E855,Products!$A$2:$A$9,0))</f>
        <v>Software</v>
      </c>
      <c r="H855" s="5" t="n">
        <v>1</v>
      </c>
      <c r="I855" s="6" t="n">
        <f aca="false">INDEX(Products!$D$2:$D$9,MATCH(E855,Products!$A$2:$A$9,0))</f>
        <v>290</v>
      </c>
      <c r="J855" s="7" t="n">
        <v>0.1</v>
      </c>
      <c r="K855" s="8" t="n">
        <f aca="false">H855*I855*(1-J855)</f>
        <v>261</v>
      </c>
      <c r="L855" s="6" t="n">
        <f aca="false">H855*INDEX(Products!$E$2:$E$9,MATCH(E855,Products!$A$2:$A$9,0))</f>
        <v>41</v>
      </c>
      <c r="M855" s="8" t="n">
        <f aca="false">K855-L855</f>
        <v>220</v>
      </c>
      <c r="N855" s="2" t="s">
        <v>28</v>
      </c>
      <c r="O855" s="2" t="s">
        <v>36</v>
      </c>
    </row>
    <row r="856" customFormat="false" ht="15" hidden="false" customHeight="false" outlineLevel="0" collapsed="false">
      <c r="A856" s="2" t="s">
        <v>910</v>
      </c>
      <c r="B856" s="3" t="n">
        <v>46008</v>
      </c>
      <c r="C856" s="2" t="s">
        <v>41</v>
      </c>
      <c r="D856" s="2" t="s">
        <v>66</v>
      </c>
      <c r="E856" s="2" t="s">
        <v>23</v>
      </c>
      <c r="F856" s="4" t="str">
        <f aca="false">INDEX(Products!$B$2:$B$9,MATCH(E856,Products!$A$2:$A$9,0))</f>
        <v>Sensor Hub S</v>
      </c>
      <c r="G856" s="4" t="str">
        <f aca="false">INDEX(Products!$C$2:$C$9,MATCH(E856,Products!$A$2:$A$9,0))</f>
        <v>Hardware</v>
      </c>
      <c r="H856" s="5" t="n">
        <v>8</v>
      </c>
      <c r="I856" s="6" t="n">
        <f aca="false">INDEX(Products!$D$2:$D$9,MATCH(E856,Products!$A$2:$A$9,0))</f>
        <v>189</v>
      </c>
      <c r="J856" s="7" t="n">
        <v>0</v>
      </c>
      <c r="K856" s="8" t="n">
        <f aca="false">H856*I856*(1-J856)</f>
        <v>1512</v>
      </c>
      <c r="L856" s="6" t="n">
        <f aca="false">H856*INDEX(Products!$E$2:$E$9,MATCH(E856,Products!$A$2:$A$9,0))</f>
        <v>784</v>
      </c>
      <c r="M856" s="8" t="n">
        <f aca="false">K856-L856</f>
        <v>728</v>
      </c>
      <c r="N856" s="2" t="s">
        <v>28</v>
      </c>
      <c r="O856" s="2" t="s">
        <v>43</v>
      </c>
    </row>
    <row r="857" customFormat="false" ht="15" hidden="false" customHeight="false" outlineLevel="0" collapsed="false">
      <c r="A857" s="2" t="s">
        <v>911</v>
      </c>
      <c r="B857" s="3" t="n">
        <v>46008</v>
      </c>
      <c r="C857" s="2" t="s">
        <v>30</v>
      </c>
      <c r="D857" s="2" t="s">
        <v>128</v>
      </c>
      <c r="E857" s="2" t="s">
        <v>57</v>
      </c>
      <c r="F857" s="4" t="str">
        <f aca="false">INDEX(Products!$B$2:$B$9,MATCH(E857,Products!$A$2:$A$9,0))</f>
        <v>Edge Gateway</v>
      </c>
      <c r="G857" s="4" t="str">
        <f aca="false">INDEX(Products!$C$2:$C$9,MATCH(E857,Products!$A$2:$A$9,0))</f>
        <v>Hardware</v>
      </c>
      <c r="H857" s="5" t="n">
        <v>8</v>
      </c>
      <c r="I857" s="6" t="n">
        <f aca="false">INDEX(Products!$D$2:$D$9,MATCH(E857,Products!$A$2:$A$9,0))</f>
        <v>899</v>
      </c>
      <c r="J857" s="7" t="n">
        <v>0.25</v>
      </c>
      <c r="K857" s="8" t="n">
        <f aca="false">H857*I857*(1-J857)</f>
        <v>5394</v>
      </c>
      <c r="L857" s="6" t="n">
        <f aca="false">H857*INDEX(Products!$E$2:$E$9,MATCH(E857,Products!$A$2:$A$9,0))</f>
        <v>4896</v>
      </c>
      <c r="M857" s="8" t="n">
        <f aca="false">K857-L857</f>
        <v>498</v>
      </c>
      <c r="N857" s="2" t="s">
        <v>19</v>
      </c>
      <c r="O857" s="2" t="s">
        <v>64</v>
      </c>
    </row>
    <row r="858" customFormat="false" ht="15" hidden="false" customHeight="false" outlineLevel="0" collapsed="false">
      <c r="A858" s="2" t="s">
        <v>912</v>
      </c>
      <c r="B858" s="3" t="n">
        <v>46008</v>
      </c>
      <c r="C858" s="2" t="s">
        <v>47</v>
      </c>
      <c r="D858" s="2" t="s">
        <v>157</v>
      </c>
      <c r="E858" s="2" t="s">
        <v>32</v>
      </c>
      <c r="F858" s="4" t="str">
        <f aca="false">INDEX(Products!$B$2:$B$9,MATCH(E858,Products!$A$2:$A$9,0))</f>
        <v>Analytics Plus</v>
      </c>
      <c r="G858" s="4" t="str">
        <f aca="false">INDEX(Products!$C$2:$C$9,MATCH(E858,Products!$A$2:$A$9,0))</f>
        <v>Software</v>
      </c>
      <c r="H858" s="5" t="n">
        <v>3</v>
      </c>
      <c r="I858" s="6" t="n">
        <f aca="false">INDEX(Products!$D$2:$D$9,MATCH(E858,Products!$A$2:$A$9,0))</f>
        <v>290</v>
      </c>
      <c r="J858" s="7" t="n">
        <v>0.05</v>
      </c>
      <c r="K858" s="8" t="n">
        <f aca="false">H858*I858*(1-J858)</f>
        <v>826.5</v>
      </c>
      <c r="L858" s="6" t="n">
        <f aca="false">H858*INDEX(Products!$E$2:$E$9,MATCH(E858,Products!$A$2:$A$9,0))</f>
        <v>123</v>
      </c>
      <c r="M858" s="8" t="n">
        <f aca="false">K858-L858</f>
        <v>703.5</v>
      </c>
      <c r="N858" s="2" t="s">
        <v>28</v>
      </c>
      <c r="O858" s="2" t="s">
        <v>72</v>
      </c>
    </row>
    <row r="859" customFormat="false" ht="15" hidden="false" customHeight="false" outlineLevel="0" collapsed="false">
      <c r="A859" s="2" t="s">
        <v>913</v>
      </c>
      <c r="B859" s="3" t="n">
        <v>46008</v>
      </c>
      <c r="C859" s="2" t="s">
        <v>30</v>
      </c>
      <c r="D859" s="2" t="s">
        <v>128</v>
      </c>
      <c r="E859" s="2" t="s">
        <v>23</v>
      </c>
      <c r="F859" s="4" t="str">
        <f aca="false">INDEX(Products!$B$2:$B$9,MATCH(E859,Products!$A$2:$A$9,0))</f>
        <v>Sensor Hub S</v>
      </c>
      <c r="G859" s="4" t="str">
        <f aca="false">INDEX(Products!$C$2:$C$9,MATCH(E859,Products!$A$2:$A$9,0))</f>
        <v>Hardware</v>
      </c>
      <c r="H859" s="5" t="n">
        <v>4</v>
      </c>
      <c r="I859" s="6" t="n">
        <f aca="false">INDEX(Products!$D$2:$D$9,MATCH(E859,Products!$A$2:$A$9,0))</f>
        <v>189</v>
      </c>
      <c r="J859" s="7" t="n">
        <v>0.1</v>
      </c>
      <c r="K859" s="8" t="n">
        <f aca="false">H859*I859*(1-J859)</f>
        <v>680.4</v>
      </c>
      <c r="L859" s="6" t="n">
        <f aca="false">H859*INDEX(Products!$E$2:$E$9,MATCH(E859,Products!$A$2:$A$9,0))</f>
        <v>392</v>
      </c>
      <c r="M859" s="8" t="n">
        <f aca="false">K859-L859</f>
        <v>288.4</v>
      </c>
      <c r="N859" s="2" t="s">
        <v>19</v>
      </c>
      <c r="O859" s="2" t="s">
        <v>33</v>
      </c>
    </row>
    <row r="860" customFormat="false" ht="15" hidden="false" customHeight="false" outlineLevel="0" collapsed="false">
      <c r="A860" s="2" t="s">
        <v>914</v>
      </c>
      <c r="B860" s="3" t="n">
        <v>46009</v>
      </c>
      <c r="C860" s="2" t="s">
        <v>30</v>
      </c>
      <c r="D860" s="2" t="s">
        <v>77</v>
      </c>
      <c r="E860" s="2" t="s">
        <v>23</v>
      </c>
      <c r="F860" s="4" t="str">
        <f aca="false">INDEX(Products!$B$2:$B$9,MATCH(E860,Products!$A$2:$A$9,0))</f>
        <v>Sensor Hub S</v>
      </c>
      <c r="G860" s="4" t="str">
        <f aca="false">INDEX(Products!$C$2:$C$9,MATCH(E860,Products!$A$2:$A$9,0))</f>
        <v>Hardware</v>
      </c>
      <c r="H860" s="5" t="n">
        <v>4</v>
      </c>
      <c r="I860" s="6" t="n">
        <f aca="false">INDEX(Products!$D$2:$D$9,MATCH(E860,Products!$A$2:$A$9,0))</f>
        <v>189</v>
      </c>
      <c r="J860" s="7" t="n">
        <v>0</v>
      </c>
      <c r="K860" s="8" t="n">
        <f aca="false">H860*I860*(1-J860)</f>
        <v>756</v>
      </c>
      <c r="L860" s="6" t="n">
        <f aca="false">H860*INDEX(Products!$E$2:$E$9,MATCH(E860,Products!$A$2:$A$9,0))</f>
        <v>392</v>
      </c>
      <c r="M860" s="8" t="n">
        <f aca="false">K860-L860</f>
        <v>364</v>
      </c>
      <c r="N860" s="2" t="s">
        <v>28</v>
      </c>
      <c r="O860" s="2" t="s">
        <v>33</v>
      </c>
    </row>
    <row r="861" customFormat="false" ht="15" hidden="false" customHeight="false" outlineLevel="0" collapsed="false">
      <c r="A861" s="2" t="s">
        <v>915</v>
      </c>
      <c r="B861" s="3" t="n">
        <v>46009</v>
      </c>
      <c r="C861" s="2" t="s">
        <v>16</v>
      </c>
      <c r="D861" s="2" t="s">
        <v>22</v>
      </c>
      <c r="E861" s="2" t="s">
        <v>26</v>
      </c>
      <c r="F861" s="4" t="str">
        <f aca="false">INDEX(Products!$B$2:$B$9,MATCH(E861,Products!$A$2:$A$9,0))</f>
        <v>Analytics Basic</v>
      </c>
      <c r="G861" s="4" t="str">
        <f aca="false">INDEX(Products!$C$2:$C$9,MATCH(E861,Products!$A$2:$A$9,0))</f>
        <v>Software</v>
      </c>
      <c r="H861" s="5" t="n">
        <v>1</v>
      </c>
      <c r="I861" s="6" t="n">
        <f aca="false">INDEX(Products!$D$2:$D$9,MATCH(E861,Products!$A$2:$A$9,0))</f>
        <v>120</v>
      </c>
      <c r="J861" s="7" t="n">
        <v>0.25</v>
      </c>
      <c r="K861" s="8" t="n">
        <f aca="false">H861*I861*(1-J861)</f>
        <v>90</v>
      </c>
      <c r="L861" s="6" t="n">
        <f aca="false">H861*INDEX(Products!$E$2:$E$9,MATCH(E861,Products!$A$2:$A$9,0))</f>
        <v>18</v>
      </c>
      <c r="M861" s="8" t="n">
        <f aca="false">K861-L861</f>
        <v>72</v>
      </c>
      <c r="N861" s="2" t="s">
        <v>19</v>
      </c>
      <c r="O861" s="2" t="s">
        <v>36</v>
      </c>
    </row>
    <row r="862" customFormat="false" ht="15" hidden="false" customHeight="false" outlineLevel="0" collapsed="false">
      <c r="A862" s="2" t="s">
        <v>916</v>
      </c>
      <c r="B862" s="3" t="n">
        <v>46009</v>
      </c>
      <c r="C862" s="2" t="s">
        <v>59</v>
      </c>
      <c r="D862" s="2" t="s">
        <v>60</v>
      </c>
      <c r="E862" s="2" t="s">
        <v>18</v>
      </c>
      <c r="F862" s="4" t="str">
        <f aca="false">INDEX(Products!$B$2:$B$9,MATCH(E862,Products!$A$2:$A$9,0))</f>
        <v>Sensor Hub Pro</v>
      </c>
      <c r="G862" s="4" t="str">
        <f aca="false">INDEX(Products!$C$2:$C$9,MATCH(E862,Products!$A$2:$A$9,0))</f>
        <v>Hardware</v>
      </c>
      <c r="H862" s="5" t="n">
        <v>1</v>
      </c>
      <c r="I862" s="6" t="n">
        <f aca="false">INDEX(Products!$D$2:$D$9,MATCH(E862,Products!$A$2:$A$9,0))</f>
        <v>349</v>
      </c>
      <c r="J862" s="7" t="n">
        <v>0.2</v>
      </c>
      <c r="K862" s="8" t="n">
        <f aca="false">H862*I862*(1-J862)</f>
        <v>279.2</v>
      </c>
      <c r="L862" s="6" t="n">
        <f aca="false">H862*INDEX(Products!$E$2:$E$9,MATCH(E862,Products!$A$2:$A$9,0))</f>
        <v>201</v>
      </c>
      <c r="M862" s="8" t="n">
        <f aca="false">K862-L862</f>
        <v>78.2</v>
      </c>
      <c r="N862" s="2" t="s">
        <v>19</v>
      </c>
      <c r="O862" s="2" t="s">
        <v>62</v>
      </c>
    </row>
    <row r="863" customFormat="false" ht="15" hidden="false" customHeight="false" outlineLevel="0" collapsed="false">
      <c r="A863" s="2" t="s">
        <v>917</v>
      </c>
      <c r="B863" s="3" t="n">
        <v>46010</v>
      </c>
      <c r="C863" s="2" t="s">
        <v>47</v>
      </c>
      <c r="D863" s="2" t="s">
        <v>55</v>
      </c>
      <c r="E863" s="2" t="s">
        <v>49</v>
      </c>
      <c r="F863" s="4" t="str">
        <f aca="false">INDEX(Products!$B$2:$B$9,MATCH(E863,Products!$A$2:$A$9,0))</f>
        <v>Mounting Kit</v>
      </c>
      <c r="G863" s="4" t="str">
        <f aca="false">INDEX(Products!$C$2:$C$9,MATCH(E863,Products!$A$2:$A$9,0))</f>
        <v>Accessories</v>
      </c>
      <c r="H863" s="5" t="n">
        <v>10</v>
      </c>
      <c r="I863" s="6" t="n">
        <f aca="false">INDEX(Products!$D$2:$D$9,MATCH(E863,Products!$A$2:$A$9,0))</f>
        <v>39</v>
      </c>
      <c r="J863" s="7" t="n">
        <v>0.1</v>
      </c>
      <c r="K863" s="8" t="n">
        <f aca="false">H863*I863*(1-J863)</f>
        <v>351</v>
      </c>
      <c r="L863" s="6" t="n">
        <f aca="false">H863*INDEX(Products!$E$2:$E$9,MATCH(E863,Products!$A$2:$A$9,0))</f>
        <v>315</v>
      </c>
      <c r="M863" s="8" t="n">
        <f aca="false">K863-L863</f>
        <v>36</v>
      </c>
      <c r="N863" s="2" t="s">
        <v>19</v>
      </c>
      <c r="O863" s="2" t="s">
        <v>72</v>
      </c>
    </row>
    <row r="864" customFormat="false" ht="15" hidden="false" customHeight="false" outlineLevel="0" collapsed="false">
      <c r="A864" s="2" t="s">
        <v>918</v>
      </c>
      <c r="B864" s="3" t="n">
        <v>46010</v>
      </c>
      <c r="C864" s="2" t="s">
        <v>47</v>
      </c>
      <c r="D864" s="2" t="s">
        <v>71</v>
      </c>
      <c r="E864" s="2" t="s">
        <v>26</v>
      </c>
      <c r="F864" s="4" t="str">
        <f aca="false">INDEX(Products!$B$2:$B$9,MATCH(E864,Products!$A$2:$A$9,0))</f>
        <v>Analytics Basic</v>
      </c>
      <c r="G864" s="4" t="str">
        <f aca="false">INDEX(Products!$C$2:$C$9,MATCH(E864,Products!$A$2:$A$9,0))</f>
        <v>Software</v>
      </c>
      <c r="H864" s="5" t="n">
        <v>3</v>
      </c>
      <c r="I864" s="6" t="n">
        <f aca="false">INDEX(Products!$D$2:$D$9,MATCH(E864,Products!$A$2:$A$9,0))</f>
        <v>120</v>
      </c>
      <c r="J864" s="7" t="n">
        <v>0.1</v>
      </c>
      <c r="K864" s="8" t="n">
        <f aca="false">H864*I864*(1-J864)</f>
        <v>324</v>
      </c>
      <c r="L864" s="6" t="n">
        <f aca="false">H864*INDEX(Products!$E$2:$E$9,MATCH(E864,Products!$A$2:$A$9,0))</f>
        <v>54</v>
      </c>
      <c r="M864" s="8" t="n">
        <f aca="false">K864-L864</f>
        <v>270</v>
      </c>
      <c r="N864" s="2" t="s">
        <v>19</v>
      </c>
      <c r="O864" s="2" t="s">
        <v>50</v>
      </c>
    </row>
    <row r="865" customFormat="false" ht="15" hidden="false" customHeight="false" outlineLevel="0" collapsed="false">
      <c r="A865" s="2" t="s">
        <v>919</v>
      </c>
      <c r="B865" s="3" t="n">
        <v>46010</v>
      </c>
      <c r="C865" s="2" t="s">
        <v>47</v>
      </c>
      <c r="D865" s="2" t="s">
        <v>55</v>
      </c>
      <c r="E865" s="2" t="s">
        <v>57</v>
      </c>
      <c r="F865" s="4" t="str">
        <f aca="false">INDEX(Products!$B$2:$B$9,MATCH(E865,Products!$A$2:$A$9,0))</f>
        <v>Edge Gateway</v>
      </c>
      <c r="G865" s="4" t="str">
        <f aca="false">INDEX(Products!$C$2:$C$9,MATCH(E865,Products!$A$2:$A$9,0))</f>
        <v>Hardware</v>
      </c>
      <c r="H865" s="5" t="n">
        <v>20</v>
      </c>
      <c r="I865" s="6" t="n">
        <f aca="false">INDEX(Products!$D$2:$D$9,MATCH(E865,Products!$A$2:$A$9,0))</f>
        <v>899</v>
      </c>
      <c r="J865" s="7" t="n">
        <v>0.15</v>
      </c>
      <c r="K865" s="8" t="n">
        <f aca="false">H865*I865*(1-J865)</f>
        <v>15283</v>
      </c>
      <c r="L865" s="6" t="n">
        <f aca="false">H865*INDEX(Products!$E$2:$E$9,MATCH(E865,Products!$A$2:$A$9,0))</f>
        <v>12240</v>
      </c>
      <c r="M865" s="8" t="n">
        <f aca="false">K865-L865</f>
        <v>3043</v>
      </c>
      <c r="N865" s="2" t="s">
        <v>38</v>
      </c>
      <c r="O865" s="2" t="s">
        <v>72</v>
      </c>
    </row>
    <row r="866" customFormat="false" ht="15" hidden="false" customHeight="false" outlineLevel="0" collapsed="false">
      <c r="A866" s="2" t="s">
        <v>920</v>
      </c>
      <c r="B866" s="3" t="n">
        <v>46010</v>
      </c>
      <c r="C866" s="2" t="s">
        <v>30</v>
      </c>
      <c r="D866" s="2" t="s">
        <v>77</v>
      </c>
      <c r="E866" s="2" t="s">
        <v>26</v>
      </c>
      <c r="F866" s="4" t="str">
        <f aca="false">INDEX(Products!$B$2:$B$9,MATCH(E866,Products!$A$2:$A$9,0))</f>
        <v>Analytics Basic</v>
      </c>
      <c r="G866" s="4" t="str">
        <f aca="false">INDEX(Products!$C$2:$C$9,MATCH(E866,Products!$A$2:$A$9,0))</f>
        <v>Software</v>
      </c>
      <c r="H866" s="5" t="n">
        <v>1</v>
      </c>
      <c r="I866" s="6" t="n">
        <f aca="false">INDEX(Products!$D$2:$D$9,MATCH(E866,Products!$A$2:$A$9,0))</f>
        <v>120</v>
      </c>
      <c r="J866" s="7" t="n">
        <v>0</v>
      </c>
      <c r="K866" s="8" t="n">
        <f aca="false">H866*I866*(1-J866)</f>
        <v>120</v>
      </c>
      <c r="L866" s="6" t="n">
        <f aca="false">H866*INDEX(Products!$E$2:$E$9,MATCH(E866,Products!$A$2:$A$9,0))</f>
        <v>18</v>
      </c>
      <c r="M866" s="8" t="n">
        <f aca="false">K866-L866</f>
        <v>102</v>
      </c>
      <c r="N866" s="2" t="s">
        <v>28</v>
      </c>
      <c r="O866" s="2" t="s">
        <v>64</v>
      </c>
    </row>
    <row r="867" customFormat="false" ht="15" hidden="false" customHeight="false" outlineLevel="0" collapsed="false">
      <c r="A867" s="2" t="s">
        <v>921</v>
      </c>
      <c r="B867" s="3" t="n">
        <v>46010</v>
      </c>
      <c r="C867" s="2" t="s">
        <v>16</v>
      </c>
      <c r="D867" s="2" t="s">
        <v>22</v>
      </c>
      <c r="E867" s="2" t="s">
        <v>18</v>
      </c>
      <c r="F867" s="4" t="str">
        <f aca="false">INDEX(Products!$B$2:$B$9,MATCH(E867,Products!$A$2:$A$9,0))</f>
        <v>Sensor Hub Pro</v>
      </c>
      <c r="G867" s="4" t="str">
        <f aca="false">INDEX(Products!$C$2:$C$9,MATCH(E867,Products!$A$2:$A$9,0))</f>
        <v>Hardware</v>
      </c>
      <c r="H867" s="5" t="n">
        <v>2</v>
      </c>
      <c r="I867" s="6" t="n">
        <f aca="false">INDEX(Products!$D$2:$D$9,MATCH(E867,Products!$A$2:$A$9,0))</f>
        <v>349</v>
      </c>
      <c r="J867" s="7" t="n">
        <v>0.15</v>
      </c>
      <c r="K867" s="8" t="n">
        <f aca="false">H867*I867*(1-J867)</f>
        <v>593.3</v>
      </c>
      <c r="L867" s="6" t="n">
        <f aca="false">H867*INDEX(Products!$E$2:$E$9,MATCH(E867,Products!$A$2:$A$9,0))</f>
        <v>402</v>
      </c>
      <c r="M867" s="8" t="n">
        <f aca="false">K867-L867</f>
        <v>191.3</v>
      </c>
      <c r="N867" s="2" t="s">
        <v>28</v>
      </c>
      <c r="O867" s="2" t="s">
        <v>36</v>
      </c>
    </row>
    <row r="868" customFormat="false" ht="15" hidden="false" customHeight="false" outlineLevel="0" collapsed="false">
      <c r="A868" s="2" t="s">
        <v>922</v>
      </c>
      <c r="B868" s="3" t="n">
        <v>46011</v>
      </c>
      <c r="C868" s="2" t="s">
        <v>59</v>
      </c>
      <c r="D868" s="2" t="s">
        <v>91</v>
      </c>
      <c r="E868" s="2" t="s">
        <v>26</v>
      </c>
      <c r="F868" s="4" t="str">
        <f aca="false">INDEX(Products!$B$2:$B$9,MATCH(E868,Products!$A$2:$A$9,0))</f>
        <v>Analytics Basic</v>
      </c>
      <c r="G868" s="4" t="str">
        <f aca="false">INDEX(Products!$C$2:$C$9,MATCH(E868,Products!$A$2:$A$9,0))</f>
        <v>Software</v>
      </c>
      <c r="H868" s="5" t="n">
        <v>1</v>
      </c>
      <c r="I868" s="6" t="n">
        <f aca="false">INDEX(Products!$D$2:$D$9,MATCH(E868,Products!$A$2:$A$9,0))</f>
        <v>120</v>
      </c>
      <c r="J868" s="7" t="n">
        <v>0.05</v>
      </c>
      <c r="K868" s="8" t="n">
        <f aca="false">H868*I868*(1-J868)</f>
        <v>114</v>
      </c>
      <c r="L868" s="6" t="n">
        <f aca="false">H868*INDEX(Products!$E$2:$E$9,MATCH(E868,Products!$A$2:$A$9,0))</f>
        <v>18</v>
      </c>
      <c r="M868" s="8" t="n">
        <f aca="false">K868-L868</f>
        <v>96</v>
      </c>
      <c r="N868" s="2" t="s">
        <v>28</v>
      </c>
      <c r="O868" s="2" t="s">
        <v>62</v>
      </c>
    </row>
    <row r="869" customFormat="false" ht="15" hidden="false" customHeight="false" outlineLevel="0" collapsed="false">
      <c r="A869" s="2" t="s">
        <v>923</v>
      </c>
      <c r="B869" s="3" t="n">
        <v>46013</v>
      </c>
      <c r="C869" s="2" t="s">
        <v>16</v>
      </c>
      <c r="D869" s="2" t="s">
        <v>35</v>
      </c>
      <c r="E869" s="2" t="s">
        <v>49</v>
      </c>
      <c r="F869" s="4" t="str">
        <f aca="false">INDEX(Products!$B$2:$B$9,MATCH(E869,Products!$A$2:$A$9,0))</f>
        <v>Mounting Kit</v>
      </c>
      <c r="G869" s="4" t="str">
        <f aca="false">INDEX(Products!$C$2:$C$9,MATCH(E869,Products!$A$2:$A$9,0))</f>
        <v>Accessories</v>
      </c>
      <c r="H869" s="5" t="n">
        <v>20</v>
      </c>
      <c r="I869" s="6" t="n">
        <f aca="false">INDEX(Products!$D$2:$D$9,MATCH(E869,Products!$A$2:$A$9,0))</f>
        <v>39</v>
      </c>
      <c r="J869" s="7" t="n">
        <v>0.05</v>
      </c>
      <c r="K869" s="8" t="n">
        <f aca="false">H869*I869*(1-J869)</f>
        <v>741</v>
      </c>
      <c r="L869" s="6" t="n">
        <f aca="false">H869*INDEX(Products!$E$2:$E$9,MATCH(E869,Products!$A$2:$A$9,0))</f>
        <v>630</v>
      </c>
      <c r="M869" s="8" t="n">
        <f aca="false">K869-L869</f>
        <v>111</v>
      </c>
      <c r="N869" s="2" t="s">
        <v>28</v>
      </c>
      <c r="O869" s="2" t="s">
        <v>20</v>
      </c>
    </row>
    <row r="870" customFormat="false" ht="15" hidden="false" customHeight="false" outlineLevel="0" collapsed="false">
      <c r="A870" s="2" t="s">
        <v>924</v>
      </c>
      <c r="B870" s="3" t="n">
        <v>46013</v>
      </c>
      <c r="C870" s="2" t="s">
        <v>47</v>
      </c>
      <c r="D870" s="2" t="s">
        <v>71</v>
      </c>
      <c r="E870" s="2" t="s">
        <v>32</v>
      </c>
      <c r="F870" s="4" t="str">
        <f aca="false">INDEX(Products!$B$2:$B$9,MATCH(E870,Products!$A$2:$A$9,0))</f>
        <v>Analytics Plus</v>
      </c>
      <c r="G870" s="4" t="str">
        <f aca="false">INDEX(Products!$C$2:$C$9,MATCH(E870,Products!$A$2:$A$9,0))</f>
        <v>Software</v>
      </c>
      <c r="H870" s="5" t="n">
        <v>3</v>
      </c>
      <c r="I870" s="6" t="n">
        <f aca="false">INDEX(Products!$D$2:$D$9,MATCH(E870,Products!$A$2:$A$9,0))</f>
        <v>290</v>
      </c>
      <c r="J870" s="7" t="n">
        <v>0.15</v>
      </c>
      <c r="K870" s="8" t="n">
        <f aca="false">H870*I870*(1-J870)</f>
        <v>739.5</v>
      </c>
      <c r="L870" s="6" t="n">
        <f aca="false">H870*INDEX(Products!$E$2:$E$9,MATCH(E870,Products!$A$2:$A$9,0))</f>
        <v>123</v>
      </c>
      <c r="M870" s="8" t="n">
        <f aca="false">K870-L870</f>
        <v>616.5</v>
      </c>
      <c r="N870" s="2" t="s">
        <v>19</v>
      </c>
      <c r="O870" s="2" t="s">
        <v>50</v>
      </c>
    </row>
    <row r="871" customFormat="false" ht="15" hidden="false" customHeight="false" outlineLevel="0" collapsed="false">
      <c r="A871" s="2" t="s">
        <v>925</v>
      </c>
      <c r="B871" s="3" t="n">
        <v>46013</v>
      </c>
      <c r="C871" s="2" t="s">
        <v>41</v>
      </c>
      <c r="D871" s="2" t="s">
        <v>42</v>
      </c>
      <c r="E871" s="2" t="s">
        <v>49</v>
      </c>
      <c r="F871" s="4" t="str">
        <f aca="false">INDEX(Products!$B$2:$B$9,MATCH(E871,Products!$A$2:$A$9,0))</f>
        <v>Mounting Kit</v>
      </c>
      <c r="G871" s="4" t="str">
        <f aca="false">INDEX(Products!$C$2:$C$9,MATCH(E871,Products!$A$2:$A$9,0))</f>
        <v>Accessories</v>
      </c>
      <c r="H871" s="5" t="n">
        <v>3</v>
      </c>
      <c r="I871" s="6" t="n">
        <f aca="false">INDEX(Products!$D$2:$D$9,MATCH(E871,Products!$A$2:$A$9,0))</f>
        <v>39</v>
      </c>
      <c r="J871" s="7" t="n">
        <v>0</v>
      </c>
      <c r="K871" s="8" t="n">
        <f aca="false">H871*I871*(1-J871)</f>
        <v>117</v>
      </c>
      <c r="L871" s="6" t="n">
        <f aca="false">H871*INDEX(Products!$E$2:$E$9,MATCH(E871,Products!$A$2:$A$9,0))</f>
        <v>94.5</v>
      </c>
      <c r="M871" s="8" t="n">
        <f aca="false">K871-L871</f>
        <v>22.5</v>
      </c>
      <c r="N871" s="2" t="s">
        <v>28</v>
      </c>
      <c r="O871" s="2" t="s">
        <v>52</v>
      </c>
    </row>
    <row r="872" customFormat="false" ht="15" hidden="false" customHeight="false" outlineLevel="0" collapsed="false">
      <c r="A872" s="2" t="s">
        <v>926</v>
      </c>
      <c r="B872" s="3" t="n">
        <v>46013</v>
      </c>
      <c r="C872" s="2" t="s">
        <v>47</v>
      </c>
      <c r="D872" s="2" t="s">
        <v>71</v>
      </c>
      <c r="E872" s="2" t="s">
        <v>18</v>
      </c>
      <c r="F872" s="4" t="str">
        <f aca="false">INDEX(Products!$B$2:$B$9,MATCH(E872,Products!$A$2:$A$9,0))</f>
        <v>Sensor Hub Pro</v>
      </c>
      <c r="G872" s="4" t="str">
        <f aca="false">INDEX(Products!$C$2:$C$9,MATCH(E872,Products!$A$2:$A$9,0))</f>
        <v>Hardware</v>
      </c>
      <c r="H872" s="5" t="n">
        <v>1</v>
      </c>
      <c r="I872" s="6" t="n">
        <f aca="false">INDEX(Products!$D$2:$D$9,MATCH(E872,Products!$A$2:$A$9,0))</f>
        <v>349</v>
      </c>
      <c r="J872" s="7" t="n">
        <v>0</v>
      </c>
      <c r="K872" s="8" t="n">
        <f aca="false">H872*I872*(1-J872)</f>
        <v>349</v>
      </c>
      <c r="L872" s="6" t="n">
        <f aca="false">H872*INDEX(Products!$E$2:$E$9,MATCH(E872,Products!$A$2:$A$9,0))</f>
        <v>201</v>
      </c>
      <c r="M872" s="8" t="n">
        <f aca="false">K872-L872</f>
        <v>148</v>
      </c>
      <c r="N872" s="2" t="s">
        <v>28</v>
      </c>
      <c r="O872" s="2" t="s">
        <v>72</v>
      </c>
    </row>
    <row r="873" customFormat="false" ht="15" hidden="false" customHeight="false" outlineLevel="0" collapsed="false">
      <c r="A873" s="2" t="s">
        <v>927</v>
      </c>
      <c r="B873" s="3" t="n">
        <v>46013</v>
      </c>
      <c r="C873" s="2" t="s">
        <v>41</v>
      </c>
      <c r="D873" s="2" t="s">
        <v>42</v>
      </c>
      <c r="E873" s="2" t="s">
        <v>23</v>
      </c>
      <c r="F873" s="4" t="str">
        <f aca="false">INDEX(Products!$B$2:$B$9,MATCH(E873,Products!$A$2:$A$9,0))</f>
        <v>Sensor Hub S</v>
      </c>
      <c r="G873" s="4" t="str">
        <f aca="false">INDEX(Products!$C$2:$C$9,MATCH(E873,Products!$A$2:$A$9,0))</f>
        <v>Hardware</v>
      </c>
      <c r="H873" s="5" t="n">
        <v>10</v>
      </c>
      <c r="I873" s="6" t="n">
        <f aca="false">INDEX(Products!$D$2:$D$9,MATCH(E873,Products!$A$2:$A$9,0))</f>
        <v>189</v>
      </c>
      <c r="J873" s="7" t="n">
        <v>0</v>
      </c>
      <c r="K873" s="8" t="n">
        <f aca="false">H873*I873*(1-J873)</f>
        <v>1890</v>
      </c>
      <c r="L873" s="6" t="n">
        <f aca="false">H873*INDEX(Products!$E$2:$E$9,MATCH(E873,Products!$A$2:$A$9,0))</f>
        <v>980</v>
      </c>
      <c r="M873" s="8" t="n">
        <f aca="false">K873-L873</f>
        <v>910</v>
      </c>
      <c r="N873" s="2" t="s">
        <v>28</v>
      </c>
      <c r="O873" s="2" t="s">
        <v>43</v>
      </c>
    </row>
    <row r="874" customFormat="false" ht="15" hidden="false" customHeight="false" outlineLevel="0" collapsed="false">
      <c r="A874" s="2" t="s">
        <v>928</v>
      </c>
      <c r="B874" s="3" t="n">
        <v>46014</v>
      </c>
      <c r="C874" s="2" t="s">
        <v>47</v>
      </c>
      <c r="D874" s="2" t="s">
        <v>55</v>
      </c>
      <c r="E874" s="2" t="s">
        <v>23</v>
      </c>
      <c r="F874" s="4" t="str">
        <f aca="false">INDEX(Products!$B$2:$B$9,MATCH(E874,Products!$A$2:$A$9,0))</f>
        <v>Sensor Hub S</v>
      </c>
      <c r="G874" s="4" t="str">
        <f aca="false">INDEX(Products!$C$2:$C$9,MATCH(E874,Products!$A$2:$A$9,0))</f>
        <v>Hardware</v>
      </c>
      <c r="H874" s="5" t="n">
        <v>3</v>
      </c>
      <c r="I874" s="6" t="n">
        <f aca="false">INDEX(Products!$D$2:$D$9,MATCH(E874,Products!$A$2:$A$9,0))</f>
        <v>189</v>
      </c>
      <c r="J874" s="7" t="n">
        <v>0</v>
      </c>
      <c r="K874" s="8" t="n">
        <f aca="false">H874*I874*(1-J874)</f>
        <v>567</v>
      </c>
      <c r="L874" s="6" t="n">
        <f aca="false">H874*INDEX(Products!$E$2:$E$9,MATCH(E874,Products!$A$2:$A$9,0))</f>
        <v>294</v>
      </c>
      <c r="M874" s="8" t="n">
        <f aca="false">K874-L874</f>
        <v>273</v>
      </c>
      <c r="N874" s="2" t="s">
        <v>28</v>
      </c>
      <c r="O874" s="2" t="s">
        <v>50</v>
      </c>
    </row>
    <row r="875" customFormat="false" ht="15" hidden="false" customHeight="false" outlineLevel="0" collapsed="false">
      <c r="A875" s="2" t="s">
        <v>929</v>
      </c>
      <c r="B875" s="3" t="n">
        <v>46014</v>
      </c>
      <c r="C875" s="2" t="s">
        <v>59</v>
      </c>
      <c r="D875" s="2" t="s">
        <v>60</v>
      </c>
      <c r="E875" s="2" t="s">
        <v>23</v>
      </c>
      <c r="F875" s="4" t="str">
        <f aca="false">INDEX(Products!$B$2:$B$9,MATCH(E875,Products!$A$2:$A$9,0))</f>
        <v>Sensor Hub S</v>
      </c>
      <c r="G875" s="4" t="str">
        <f aca="false">INDEX(Products!$C$2:$C$9,MATCH(E875,Products!$A$2:$A$9,0))</f>
        <v>Hardware</v>
      </c>
      <c r="H875" s="5" t="n">
        <v>8</v>
      </c>
      <c r="I875" s="6" t="n">
        <f aca="false">INDEX(Products!$D$2:$D$9,MATCH(E875,Products!$A$2:$A$9,0))</f>
        <v>189</v>
      </c>
      <c r="J875" s="7" t="n">
        <v>0.1</v>
      </c>
      <c r="K875" s="8" t="n">
        <f aca="false">H875*I875*(1-J875)</f>
        <v>1360.8</v>
      </c>
      <c r="L875" s="6" t="n">
        <f aca="false">H875*INDEX(Products!$E$2:$E$9,MATCH(E875,Products!$A$2:$A$9,0))</f>
        <v>784</v>
      </c>
      <c r="M875" s="8" t="n">
        <f aca="false">K875-L875</f>
        <v>576.8</v>
      </c>
      <c r="N875" s="2" t="s">
        <v>19</v>
      </c>
      <c r="O875" s="2" t="s">
        <v>62</v>
      </c>
    </row>
    <row r="876" customFormat="false" ht="15" hidden="false" customHeight="false" outlineLevel="0" collapsed="false">
      <c r="A876" s="2" t="s">
        <v>930</v>
      </c>
      <c r="B876" s="3" t="n">
        <v>46014</v>
      </c>
      <c r="C876" s="2" t="s">
        <v>16</v>
      </c>
      <c r="D876" s="2" t="s">
        <v>35</v>
      </c>
      <c r="E876" s="2" t="s">
        <v>23</v>
      </c>
      <c r="F876" s="4" t="str">
        <f aca="false">INDEX(Products!$B$2:$B$9,MATCH(E876,Products!$A$2:$A$9,0))</f>
        <v>Sensor Hub S</v>
      </c>
      <c r="G876" s="4" t="str">
        <f aca="false">INDEX(Products!$C$2:$C$9,MATCH(E876,Products!$A$2:$A$9,0))</f>
        <v>Hardware</v>
      </c>
      <c r="H876" s="5" t="n">
        <v>8</v>
      </c>
      <c r="I876" s="6" t="n">
        <f aca="false">INDEX(Products!$D$2:$D$9,MATCH(E876,Products!$A$2:$A$9,0))</f>
        <v>189</v>
      </c>
      <c r="J876" s="7" t="n">
        <v>0.15</v>
      </c>
      <c r="K876" s="8" t="n">
        <f aca="false">H876*I876*(1-J876)</f>
        <v>1285.2</v>
      </c>
      <c r="L876" s="6" t="n">
        <f aca="false">H876*INDEX(Products!$E$2:$E$9,MATCH(E876,Products!$A$2:$A$9,0))</f>
        <v>784</v>
      </c>
      <c r="M876" s="8" t="n">
        <f aca="false">K876-L876</f>
        <v>501.2</v>
      </c>
      <c r="N876" s="2" t="s">
        <v>19</v>
      </c>
      <c r="O876" s="2" t="s">
        <v>36</v>
      </c>
    </row>
    <row r="877" customFormat="false" ht="15" hidden="false" customHeight="false" outlineLevel="0" collapsed="false">
      <c r="A877" s="2" t="s">
        <v>931</v>
      </c>
      <c r="B877" s="3" t="n">
        <v>46014</v>
      </c>
      <c r="C877" s="2" t="s">
        <v>16</v>
      </c>
      <c r="D877" s="2" t="s">
        <v>35</v>
      </c>
      <c r="E877" s="2" t="s">
        <v>61</v>
      </c>
      <c r="F877" s="4" t="str">
        <f aca="false">INDEX(Products!$B$2:$B$9,MATCH(E877,Products!$A$2:$A$9,0))</f>
        <v>Install Service</v>
      </c>
      <c r="G877" s="4" t="str">
        <f aca="false">INDEX(Products!$C$2:$C$9,MATCH(E877,Products!$A$2:$A$9,0))</f>
        <v>Services</v>
      </c>
      <c r="H877" s="5" t="n">
        <v>3</v>
      </c>
      <c r="I877" s="6" t="n">
        <f aca="false">INDEX(Products!$D$2:$D$9,MATCH(E877,Products!$A$2:$A$9,0))</f>
        <v>450</v>
      </c>
      <c r="J877" s="7" t="n">
        <v>0.1</v>
      </c>
      <c r="K877" s="8" t="n">
        <f aca="false">H877*I877*(1-J877)</f>
        <v>1215</v>
      </c>
      <c r="L877" s="6" t="n">
        <f aca="false">H877*INDEX(Products!$E$2:$E$9,MATCH(E877,Products!$A$2:$A$9,0))</f>
        <v>930</v>
      </c>
      <c r="M877" s="8" t="n">
        <f aca="false">K877-L877</f>
        <v>285</v>
      </c>
      <c r="N877" s="2" t="s">
        <v>28</v>
      </c>
      <c r="O877" s="2" t="s">
        <v>20</v>
      </c>
    </row>
    <row r="878" customFormat="false" ht="15" hidden="false" customHeight="false" outlineLevel="0" collapsed="false">
      <c r="A878" s="2" t="s">
        <v>932</v>
      </c>
      <c r="B878" s="3" t="n">
        <v>46014</v>
      </c>
      <c r="C878" s="2" t="s">
        <v>30</v>
      </c>
      <c r="D878" s="2" t="s">
        <v>128</v>
      </c>
      <c r="E878" s="2" t="s">
        <v>49</v>
      </c>
      <c r="F878" s="4" t="str">
        <f aca="false">INDEX(Products!$B$2:$B$9,MATCH(E878,Products!$A$2:$A$9,0))</f>
        <v>Mounting Kit</v>
      </c>
      <c r="G878" s="4" t="str">
        <f aca="false">INDEX(Products!$C$2:$C$9,MATCH(E878,Products!$A$2:$A$9,0))</f>
        <v>Accessories</v>
      </c>
      <c r="H878" s="5" t="n">
        <v>12</v>
      </c>
      <c r="I878" s="6" t="n">
        <f aca="false">INDEX(Products!$D$2:$D$9,MATCH(E878,Products!$A$2:$A$9,0))</f>
        <v>39</v>
      </c>
      <c r="J878" s="7" t="n">
        <v>0.25</v>
      </c>
      <c r="K878" s="8" t="n">
        <f aca="false">H878*I878*(1-J878)</f>
        <v>351</v>
      </c>
      <c r="L878" s="6" t="n">
        <f aca="false">H878*INDEX(Products!$E$2:$E$9,MATCH(E878,Products!$A$2:$A$9,0))</f>
        <v>378</v>
      </c>
      <c r="M878" s="8" t="n">
        <f aca="false">K878-L878</f>
        <v>-27</v>
      </c>
      <c r="N878" s="2" t="s">
        <v>19</v>
      </c>
      <c r="O878" s="2" t="s">
        <v>33</v>
      </c>
    </row>
    <row r="879" customFormat="false" ht="15" hidden="false" customHeight="false" outlineLevel="0" collapsed="false">
      <c r="A879" s="2" t="s">
        <v>933</v>
      </c>
      <c r="B879" s="3" t="n">
        <v>46015</v>
      </c>
      <c r="C879" s="2" t="s">
        <v>47</v>
      </c>
      <c r="D879" s="2" t="s">
        <v>55</v>
      </c>
      <c r="E879" s="2" t="s">
        <v>23</v>
      </c>
      <c r="F879" s="4" t="str">
        <f aca="false">INDEX(Products!$B$2:$B$9,MATCH(E879,Products!$A$2:$A$9,0))</f>
        <v>Sensor Hub S</v>
      </c>
      <c r="G879" s="4" t="str">
        <f aca="false">INDEX(Products!$C$2:$C$9,MATCH(E879,Products!$A$2:$A$9,0))</f>
        <v>Hardware</v>
      </c>
      <c r="H879" s="5" t="n">
        <v>8</v>
      </c>
      <c r="I879" s="6" t="n">
        <f aca="false">INDEX(Products!$D$2:$D$9,MATCH(E879,Products!$A$2:$A$9,0))</f>
        <v>189</v>
      </c>
      <c r="J879" s="7" t="n">
        <v>0</v>
      </c>
      <c r="K879" s="8" t="n">
        <f aca="false">H879*I879*(1-J879)</f>
        <v>1512</v>
      </c>
      <c r="L879" s="6" t="n">
        <f aca="false">H879*INDEX(Products!$E$2:$E$9,MATCH(E879,Products!$A$2:$A$9,0))</f>
        <v>784</v>
      </c>
      <c r="M879" s="8" t="n">
        <f aca="false">K879-L879</f>
        <v>728</v>
      </c>
      <c r="N879" s="2" t="s">
        <v>38</v>
      </c>
      <c r="O879" s="2" t="s">
        <v>50</v>
      </c>
    </row>
    <row r="880" customFormat="false" ht="15" hidden="false" customHeight="false" outlineLevel="0" collapsed="false">
      <c r="A880" s="2" t="s">
        <v>934</v>
      </c>
      <c r="B880" s="3" t="n">
        <v>46015</v>
      </c>
      <c r="C880" s="2" t="s">
        <v>16</v>
      </c>
      <c r="D880" s="2" t="s">
        <v>35</v>
      </c>
      <c r="E880" s="2" t="s">
        <v>32</v>
      </c>
      <c r="F880" s="4" t="str">
        <f aca="false">INDEX(Products!$B$2:$B$9,MATCH(E880,Products!$A$2:$A$9,0))</f>
        <v>Analytics Plus</v>
      </c>
      <c r="G880" s="4" t="str">
        <f aca="false">INDEX(Products!$C$2:$C$9,MATCH(E880,Products!$A$2:$A$9,0))</f>
        <v>Software</v>
      </c>
      <c r="H880" s="5" t="n">
        <v>1</v>
      </c>
      <c r="I880" s="6" t="n">
        <f aca="false">INDEX(Products!$D$2:$D$9,MATCH(E880,Products!$A$2:$A$9,0))</f>
        <v>290</v>
      </c>
      <c r="J880" s="7" t="n">
        <v>0</v>
      </c>
      <c r="K880" s="8" t="n">
        <f aca="false">H880*I880*(1-J880)</f>
        <v>290</v>
      </c>
      <c r="L880" s="6" t="n">
        <f aca="false">H880*INDEX(Products!$E$2:$E$9,MATCH(E880,Products!$A$2:$A$9,0))</f>
        <v>41</v>
      </c>
      <c r="M880" s="8" t="n">
        <f aca="false">K880-L880</f>
        <v>249</v>
      </c>
      <c r="N880" s="2" t="s">
        <v>28</v>
      </c>
      <c r="O880" s="2" t="s">
        <v>36</v>
      </c>
    </row>
    <row r="881" customFormat="false" ht="15" hidden="false" customHeight="false" outlineLevel="0" collapsed="false">
      <c r="A881" s="2" t="s">
        <v>935</v>
      </c>
      <c r="B881" s="3" t="n">
        <v>46015</v>
      </c>
      <c r="C881" s="2" t="s">
        <v>41</v>
      </c>
      <c r="D881" s="2" t="s">
        <v>66</v>
      </c>
      <c r="E881" s="2" t="s">
        <v>23</v>
      </c>
      <c r="F881" s="4" t="str">
        <f aca="false">INDEX(Products!$B$2:$B$9,MATCH(E881,Products!$A$2:$A$9,0))</f>
        <v>Sensor Hub S</v>
      </c>
      <c r="G881" s="4" t="str">
        <f aca="false">INDEX(Products!$C$2:$C$9,MATCH(E881,Products!$A$2:$A$9,0))</f>
        <v>Hardware</v>
      </c>
      <c r="H881" s="5" t="n">
        <v>10</v>
      </c>
      <c r="I881" s="6" t="n">
        <f aca="false">INDEX(Products!$D$2:$D$9,MATCH(E881,Products!$A$2:$A$9,0))</f>
        <v>189</v>
      </c>
      <c r="J881" s="7" t="n">
        <v>0.15</v>
      </c>
      <c r="K881" s="8" t="n">
        <f aca="false">H881*I881*(1-J881)</f>
        <v>1606.5</v>
      </c>
      <c r="L881" s="6" t="n">
        <f aca="false">H881*INDEX(Products!$E$2:$E$9,MATCH(E881,Products!$A$2:$A$9,0))</f>
        <v>980</v>
      </c>
      <c r="M881" s="8" t="n">
        <f aca="false">K881-L881</f>
        <v>626.5</v>
      </c>
      <c r="N881" s="2" t="s">
        <v>28</v>
      </c>
      <c r="O881" s="2" t="s">
        <v>43</v>
      </c>
    </row>
    <row r="882" customFormat="false" ht="15" hidden="false" customHeight="false" outlineLevel="0" collapsed="false">
      <c r="A882" s="2" t="s">
        <v>936</v>
      </c>
      <c r="B882" s="3" t="n">
        <v>46015</v>
      </c>
      <c r="C882" s="2" t="s">
        <v>16</v>
      </c>
      <c r="D882" s="2" t="s">
        <v>25</v>
      </c>
      <c r="E882" s="2" t="s">
        <v>26</v>
      </c>
      <c r="F882" s="4" t="str">
        <f aca="false">INDEX(Products!$B$2:$B$9,MATCH(E882,Products!$A$2:$A$9,0))</f>
        <v>Analytics Basic</v>
      </c>
      <c r="G882" s="4" t="str">
        <f aca="false">INDEX(Products!$C$2:$C$9,MATCH(E882,Products!$A$2:$A$9,0))</f>
        <v>Software</v>
      </c>
      <c r="H882" s="5" t="n">
        <v>2</v>
      </c>
      <c r="I882" s="6" t="n">
        <f aca="false">INDEX(Products!$D$2:$D$9,MATCH(E882,Products!$A$2:$A$9,0))</f>
        <v>120</v>
      </c>
      <c r="J882" s="7" t="n">
        <v>0.1</v>
      </c>
      <c r="K882" s="8" t="n">
        <f aca="false">H882*I882*(1-J882)</f>
        <v>216</v>
      </c>
      <c r="L882" s="6" t="n">
        <f aca="false">H882*INDEX(Products!$E$2:$E$9,MATCH(E882,Products!$A$2:$A$9,0))</f>
        <v>36</v>
      </c>
      <c r="M882" s="8" t="n">
        <f aca="false">K882-L882</f>
        <v>180</v>
      </c>
      <c r="N882" s="2" t="s">
        <v>19</v>
      </c>
      <c r="O882" s="2" t="s">
        <v>36</v>
      </c>
    </row>
    <row r="883" customFormat="false" ht="15" hidden="false" customHeight="false" outlineLevel="0" collapsed="false">
      <c r="A883" s="2" t="s">
        <v>937</v>
      </c>
      <c r="B883" s="3" t="n">
        <v>46015</v>
      </c>
      <c r="C883" s="2" t="s">
        <v>47</v>
      </c>
      <c r="D883" s="2" t="s">
        <v>157</v>
      </c>
      <c r="E883" s="2" t="s">
        <v>32</v>
      </c>
      <c r="F883" s="4" t="str">
        <f aca="false">INDEX(Products!$B$2:$B$9,MATCH(E883,Products!$A$2:$A$9,0))</f>
        <v>Analytics Plus</v>
      </c>
      <c r="G883" s="4" t="str">
        <f aca="false">INDEX(Products!$C$2:$C$9,MATCH(E883,Products!$A$2:$A$9,0))</f>
        <v>Software</v>
      </c>
      <c r="H883" s="5" t="n">
        <v>3</v>
      </c>
      <c r="I883" s="6" t="n">
        <f aca="false">INDEX(Products!$D$2:$D$9,MATCH(E883,Products!$A$2:$A$9,0))</f>
        <v>290</v>
      </c>
      <c r="J883" s="7" t="n">
        <v>0.1</v>
      </c>
      <c r="K883" s="8" t="n">
        <f aca="false">H883*I883*(1-J883)</f>
        <v>783</v>
      </c>
      <c r="L883" s="6" t="n">
        <f aca="false">H883*INDEX(Products!$E$2:$E$9,MATCH(E883,Products!$A$2:$A$9,0))</f>
        <v>123</v>
      </c>
      <c r="M883" s="8" t="n">
        <f aca="false">K883-L883</f>
        <v>660</v>
      </c>
      <c r="N883" s="2" t="s">
        <v>38</v>
      </c>
      <c r="O883" s="2" t="s">
        <v>50</v>
      </c>
    </row>
    <row r="884" customFormat="false" ht="15" hidden="false" customHeight="false" outlineLevel="0" collapsed="false">
      <c r="A884" s="2" t="s">
        <v>938</v>
      </c>
      <c r="B884" s="3" t="n">
        <v>46016</v>
      </c>
      <c r="C884" s="2" t="s">
        <v>47</v>
      </c>
      <c r="D884" s="2" t="s">
        <v>71</v>
      </c>
      <c r="E884" s="2" t="s">
        <v>57</v>
      </c>
      <c r="F884" s="4" t="str">
        <f aca="false">INDEX(Products!$B$2:$B$9,MATCH(E884,Products!$A$2:$A$9,0))</f>
        <v>Edge Gateway</v>
      </c>
      <c r="G884" s="4" t="str">
        <f aca="false">INDEX(Products!$C$2:$C$9,MATCH(E884,Products!$A$2:$A$9,0))</f>
        <v>Hardware</v>
      </c>
      <c r="H884" s="5" t="n">
        <v>3</v>
      </c>
      <c r="I884" s="6" t="n">
        <f aca="false">INDEX(Products!$D$2:$D$9,MATCH(E884,Products!$A$2:$A$9,0))</f>
        <v>899</v>
      </c>
      <c r="J884" s="7" t="n">
        <v>0</v>
      </c>
      <c r="K884" s="8" t="n">
        <f aca="false">H884*I884*(1-J884)</f>
        <v>2697</v>
      </c>
      <c r="L884" s="6" t="n">
        <f aca="false">H884*INDEX(Products!$E$2:$E$9,MATCH(E884,Products!$A$2:$A$9,0))</f>
        <v>1836</v>
      </c>
      <c r="M884" s="8" t="n">
        <f aca="false">K884-L884</f>
        <v>861</v>
      </c>
      <c r="N884" s="2" t="s">
        <v>28</v>
      </c>
      <c r="O884" s="2" t="s">
        <v>72</v>
      </c>
    </row>
    <row r="885" customFormat="false" ht="15" hidden="false" customHeight="false" outlineLevel="0" collapsed="false">
      <c r="A885" s="2" t="s">
        <v>939</v>
      </c>
      <c r="B885" s="3" t="n">
        <v>46016</v>
      </c>
      <c r="C885" s="2" t="s">
        <v>16</v>
      </c>
      <c r="D885" s="2" t="s">
        <v>22</v>
      </c>
      <c r="E885" s="2" t="s">
        <v>49</v>
      </c>
      <c r="F885" s="4" t="str">
        <f aca="false">INDEX(Products!$B$2:$B$9,MATCH(E885,Products!$A$2:$A$9,0))</f>
        <v>Mounting Kit</v>
      </c>
      <c r="G885" s="4" t="str">
        <f aca="false">INDEX(Products!$C$2:$C$9,MATCH(E885,Products!$A$2:$A$9,0))</f>
        <v>Accessories</v>
      </c>
      <c r="H885" s="5" t="n">
        <v>5</v>
      </c>
      <c r="I885" s="6" t="n">
        <f aca="false">INDEX(Products!$D$2:$D$9,MATCH(E885,Products!$A$2:$A$9,0))</f>
        <v>39</v>
      </c>
      <c r="J885" s="7" t="n">
        <v>0.1</v>
      </c>
      <c r="K885" s="8" t="n">
        <f aca="false">H885*I885*(1-J885)</f>
        <v>175.5</v>
      </c>
      <c r="L885" s="6" t="n">
        <f aca="false">H885*INDEX(Products!$E$2:$E$9,MATCH(E885,Products!$A$2:$A$9,0))</f>
        <v>157.5</v>
      </c>
      <c r="M885" s="8" t="n">
        <f aca="false">K885-L885</f>
        <v>18</v>
      </c>
      <c r="N885" s="2" t="s">
        <v>19</v>
      </c>
      <c r="O885" s="2" t="s">
        <v>20</v>
      </c>
    </row>
    <row r="886" customFormat="false" ht="15" hidden="false" customHeight="false" outlineLevel="0" collapsed="false">
      <c r="A886" s="2" t="s">
        <v>940</v>
      </c>
      <c r="B886" s="3" t="n">
        <v>46016</v>
      </c>
      <c r="C886" s="2" t="s">
        <v>41</v>
      </c>
      <c r="D886" s="2" t="s">
        <v>42</v>
      </c>
      <c r="E886" s="2" t="s">
        <v>26</v>
      </c>
      <c r="F886" s="4" t="str">
        <f aca="false">INDEX(Products!$B$2:$B$9,MATCH(E886,Products!$A$2:$A$9,0))</f>
        <v>Analytics Basic</v>
      </c>
      <c r="G886" s="4" t="str">
        <f aca="false">INDEX(Products!$C$2:$C$9,MATCH(E886,Products!$A$2:$A$9,0))</f>
        <v>Software</v>
      </c>
      <c r="H886" s="5" t="n">
        <v>3</v>
      </c>
      <c r="I886" s="6" t="n">
        <f aca="false">INDEX(Products!$D$2:$D$9,MATCH(E886,Products!$A$2:$A$9,0))</f>
        <v>120</v>
      </c>
      <c r="J886" s="7" t="n">
        <v>0.1</v>
      </c>
      <c r="K886" s="8" t="n">
        <f aca="false">H886*I886*(1-J886)</f>
        <v>324</v>
      </c>
      <c r="L886" s="6" t="n">
        <f aca="false">H886*INDEX(Products!$E$2:$E$9,MATCH(E886,Products!$A$2:$A$9,0))</f>
        <v>54</v>
      </c>
      <c r="M886" s="8" t="n">
        <f aca="false">K886-L886</f>
        <v>270</v>
      </c>
      <c r="N886" s="2" t="s">
        <v>19</v>
      </c>
      <c r="O886" s="2" t="s">
        <v>52</v>
      </c>
    </row>
    <row r="887" customFormat="false" ht="15" hidden="false" customHeight="false" outlineLevel="0" collapsed="false">
      <c r="A887" s="2" t="s">
        <v>941</v>
      </c>
      <c r="B887" s="3" t="n">
        <v>46016</v>
      </c>
      <c r="C887" s="2" t="s">
        <v>47</v>
      </c>
      <c r="D887" s="2" t="s">
        <v>71</v>
      </c>
      <c r="E887" s="2" t="s">
        <v>68</v>
      </c>
      <c r="F887" s="4" t="str">
        <f aca="false">INDEX(Products!$B$2:$B$9,MATCH(E887,Products!$A$2:$A$9,0))</f>
        <v>Premium Support</v>
      </c>
      <c r="G887" s="4" t="str">
        <f aca="false">INDEX(Products!$C$2:$C$9,MATCH(E887,Products!$A$2:$A$9,0))</f>
        <v>Services</v>
      </c>
      <c r="H887" s="5" t="n">
        <v>1</v>
      </c>
      <c r="I887" s="6" t="n">
        <f aca="false">INDEX(Products!$D$2:$D$9,MATCH(E887,Products!$A$2:$A$9,0))</f>
        <v>600</v>
      </c>
      <c r="J887" s="7" t="n">
        <v>0.05</v>
      </c>
      <c r="K887" s="8" t="n">
        <f aca="false">H887*I887*(1-J887)</f>
        <v>570</v>
      </c>
      <c r="L887" s="6" t="n">
        <f aca="false">H887*INDEX(Products!$E$2:$E$9,MATCH(E887,Products!$A$2:$A$9,0))</f>
        <v>395</v>
      </c>
      <c r="M887" s="8" t="n">
        <f aca="false">K887-L887</f>
        <v>175</v>
      </c>
      <c r="N887" s="2" t="s">
        <v>28</v>
      </c>
      <c r="O887" s="2" t="s">
        <v>72</v>
      </c>
    </row>
    <row r="888" customFormat="false" ht="15" hidden="false" customHeight="false" outlineLevel="0" collapsed="false">
      <c r="A888" s="2" t="s">
        <v>942</v>
      </c>
      <c r="B888" s="3" t="n">
        <v>46016</v>
      </c>
      <c r="C888" s="2" t="s">
        <v>16</v>
      </c>
      <c r="D888" s="2" t="s">
        <v>25</v>
      </c>
      <c r="E888" s="2" t="s">
        <v>32</v>
      </c>
      <c r="F888" s="4" t="str">
        <f aca="false">INDEX(Products!$B$2:$B$9,MATCH(E888,Products!$A$2:$A$9,0))</f>
        <v>Analytics Plus</v>
      </c>
      <c r="G888" s="4" t="str">
        <f aca="false">INDEX(Products!$C$2:$C$9,MATCH(E888,Products!$A$2:$A$9,0))</f>
        <v>Software</v>
      </c>
      <c r="H888" s="5" t="n">
        <v>1</v>
      </c>
      <c r="I888" s="6" t="n">
        <f aca="false">INDEX(Products!$D$2:$D$9,MATCH(E888,Products!$A$2:$A$9,0))</f>
        <v>290</v>
      </c>
      <c r="J888" s="7" t="n">
        <v>0.05</v>
      </c>
      <c r="K888" s="8" t="n">
        <f aca="false">H888*I888*(1-J888)</f>
        <v>275.5</v>
      </c>
      <c r="L888" s="6" t="n">
        <f aca="false">H888*INDEX(Products!$E$2:$E$9,MATCH(E888,Products!$A$2:$A$9,0))</f>
        <v>41</v>
      </c>
      <c r="M888" s="8" t="n">
        <f aca="false">K888-L888</f>
        <v>234.5</v>
      </c>
      <c r="N888" s="2" t="s">
        <v>28</v>
      </c>
      <c r="O888" s="2" t="s">
        <v>36</v>
      </c>
    </row>
    <row r="889" customFormat="false" ht="15" hidden="false" customHeight="false" outlineLevel="0" collapsed="false">
      <c r="A889" s="2" t="s">
        <v>943</v>
      </c>
      <c r="B889" s="3" t="n">
        <v>46016</v>
      </c>
      <c r="C889" s="2" t="s">
        <v>16</v>
      </c>
      <c r="D889" s="2" t="s">
        <v>35</v>
      </c>
      <c r="E889" s="2" t="s">
        <v>68</v>
      </c>
      <c r="F889" s="4" t="str">
        <f aca="false">INDEX(Products!$B$2:$B$9,MATCH(E889,Products!$A$2:$A$9,0))</f>
        <v>Premium Support</v>
      </c>
      <c r="G889" s="4" t="str">
        <f aca="false">INDEX(Products!$C$2:$C$9,MATCH(E889,Products!$A$2:$A$9,0))</f>
        <v>Services</v>
      </c>
      <c r="H889" s="5" t="n">
        <v>1</v>
      </c>
      <c r="I889" s="6" t="n">
        <f aca="false">INDEX(Products!$D$2:$D$9,MATCH(E889,Products!$A$2:$A$9,0))</f>
        <v>600</v>
      </c>
      <c r="J889" s="7" t="n">
        <v>0.1</v>
      </c>
      <c r="K889" s="8" t="n">
        <f aca="false">H889*I889*(1-J889)</f>
        <v>540</v>
      </c>
      <c r="L889" s="6" t="n">
        <f aca="false">H889*INDEX(Products!$E$2:$E$9,MATCH(E889,Products!$A$2:$A$9,0))</f>
        <v>395</v>
      </c>
      <c r="M889" s="8" t="n">
        <f aca="false">K889-L889</f>
        <v>145</v>
      </c>
      <c r="N889" s="2" t="s">
        <v>19</v>
      </c>
      <c r="O889" s="2" t="s">
        <v>20</v>
      </c>
    </row>
    <row r="890" customFormat="false" ht="15" hidden="false" customHeight="false" outlineLevel="0" collapsed="false">
      <c r="A890" s="2" t="s">
        <v>944</v>
      </c>
      <c r="B890" s="3" t="n">
        <v>46017</v>
      </c>
      <c r="C890" s="2" t="s">
        <v>47</v>
      </c>
      <c r="D890" s="2" t="s">
        <v>48</v>
      </c>
      <c r="E890" s="2" t="s">
        <v>61</v>
      </c>
      <c r="F890" s="4" t="str">
        <f aca="false">INDEX(Products!$B$2:$B$9,MATCH(E890,Products!$A$2:$A$9,0))</f>
        <v>Install Service</v>
      </c>
      <c r="G890" s="4" t="str">
        <f aca="false">INDEX(Products!$C$2:$C$9,MATCH(E890,Products!$A$2:$A$9,0))</f>
        <v>Services</v>
      </c>
      <c r="H890" s="5" t="n">
        <v>1</v>
      </c>
      <c r="I890" s="6" t="n">
        <f aca="false">INDEX(Products!$D$2:$D$9,MATCH(E890,Products!$A$2:$A$9,0))</f>
        <v>450</v>
      </c>
      <c r="J890" s="7" t="n">
        <v>0</v>
      </c>
      <c r="K890" s="8" t="n">
        <f aca="false">H890*I890*(1-J890)</f>
        <v>450</v>
      </c>
      <c r="L890" s="6" t="n">
        <f aca="false">H890*INDEX(Products!$E$2:$E$9,MATCH(E890,Products!$A$2:$A$9,0))</f>
        <v>310</v>
      </c>
      <c r="M890" s="8" t="n">
        <f aca="false">K890-L890</f>
        <v>140</v>
      </c>
      <c r="N890" s="2" t="s">
        <v>28</v>
      </c>
      <c r="O890" s="2" t="s">
        <v>50</v>
      </c>
    </row>
    <row r="891" customFormat="false" ht="15" hidden="false" customHeight="false" outlineLevel="0" collapsed="false">
      <c r="A891" s="2" t="s">
        <v>945</v>
      </c>
      <c r="B891" s="3" t="n">
        <v>46017</v>
      </c>
      <c r="C891" s="2" t="s">
        <v>47</v>
      </c>
      <c r="D891" s="2" t="s">
        <v>157</v>
      </c>
      <c r="E891" s="2" t="s">
        <v>32</v>
      </c>
      <c r="F891" s="4" t="str">
        <f aca="false">INDEX(Products!$B$2:$B$9,MATCH(E891,Products!$A$2:$A$9,0))</f>
        <v>Analytics Plus</v>
      </c>
      <c r="G891" s="4" t="str">
        <f aca="false">INDEX(Products!$C$2:$C$9,MATCH(E891,Products!$A$2:$A$9,0))</f>
        <v>Software</v>
      </c>
      <c r="H891" s="5" t="n">
        <v>5</v>
      </c>
      <c r="I891" s="6" t="n">
        <f aca="false">INDEX(Products!$D$2:$D$9,MATCH(E891,Products!$A$2:$A$9,0))</f>
        <v>290</v>
      </c>
      <c r="J891" s="7" t="n">
        <v>0.1</v>
      </c>
      <c r="K891" s="8" t="n">
        <f aca="false">H891*I891*(1-J891)</f>
        <v>1305</v>
      </c>
      <c r="L891" s="6" t="n">
        <f aca="false">H891*INDEX(Products!$E$2:$E$9,MATCH(E891,Products!$A$2:$A$9,0))</f>
        <v>205</v>
      </c>
      <c r="M891" s="8" t="n">
        <f aca="false">K891-L891</f>
        <v>1100</v>
      </c>
      <c r="N891" s="2" t="s">
        <v>28</v>
      </c>
      <c r="O891" s="2" t="s">
        <v>50</v>
      </c>
    </row>
    <row r="892" customFormat="false" ht="15" hidden="false" customHeight="false" outlineLevel="0" collapsed="false">
      <c r="A892" s="2" t="s">
        <v>946</v>
      </c>
      <c r="B892" s="3" t="n">
        <v>46017</v>
      </c>
      <c r="C892" s="2" t="s">
        <v>16</v>
      </c>
      <c r="D892" s="2" t="s">
        <v>35</v>
      </c>
      <c r="E892" s="2" t="s">
        <v>49</v>
      </c>
      <c r="F892" s="4" t="str">
        <f aca="false">INDEX(Products!$B$2:$B$9,MATCH(E892,Products!$A$2:$A$9,0))</f>
        <v>Mounting Kit</v>
      </c>
      <c r="G892" s="4" t="str">
        <f aca="false">INDEX(Products!$C$2:$C$9,MATCH(E892,Products!$A$2:$A$9,0))</f>
        <v>Accessories</v>
      </c>
      <c r="H892" s="5" t="n">
        <v>20</v>
      </c>
      <c r="I892" s="6" t="n">
        <f aca="false">INDEX(Products!$D$2:$D$9,MATCH(E892,Products!$A$2:$A$9,0))</f>
        <v>39</v>
      </c>
      <c r="J892" s="7" t="n">
        <v>0</v>
      </c>
      <c r="K892" s="8" t="n">
        <f aca="false">H892*I892*(1-J892)</f>
        <v>780</v>
      </c>
      <c r="L892" s="6" t="n">
        <f aca="false">H892*INDEX(Products!$E$2:$E$9,MATCH(E892,Products!$A$2:$A$9,0))</f>
        <v>630</v>
      </c>
      <c r="M892" s="8" t="n">
        <f aca="false">K892-L892</f>
        <v>150</v>
      </c>
      <c r="N892" s="2" t="s">
        <v>28</v>
      </c>
      <c r="O892" s="2" t="s">
        <v>20</v>
      </c>
    </row>
    <row r="893" customFormat="false" ht="15" hidden="false" customHeight="false" outlineLevel="0" collapsed="false">
      <c r="A893" s="2" t="s">
        <v>947</v>
      </c>
      <c r="B893" s="3" t="n">
        <v>46017</v>
      </c>
      <c r="C893" s="2" t="s">
        <v>59</v>
      </c>
      <c r="D893" s="2" t="s">
        <v>91</v>
      </c>
      <c r="E893" s="2" t="s">
        <v>23</v>
      </c>
      <c r="F893" s="4" t="str">
        <f aca="false">INDEX(Products!$B$2:$B$9,MATCH(E893,Products!$A$2:$A$9,0))</f>
        <v>Sensor Hub S</v>
      </c>
      <c r="G893" s="4" t="str">
        <f aca="false">INDEX(Products!$C$2:$C$9,MATCH(E893,Products!$A$2:$A$9,0))</f>
        <v>Hardware</v>
      </c>
      <c r="H893" s="5" t="n">
        <v>4</v>
      </c>
      <c r="I893" s="6" t="n">
        <f aca="false">INDEX(Products!$D$2:$D$9,MATCH(E893,Products!$A$2:$A$9,0))</f>
        <v>189</v>
      </c>
      <c r="J893" s="7" t="n">
        <v>0.15</v>
      </c>
      <c r="K893" s="8" t="n">
        <f aca="false">H893*I893*(1-J893)</f>
        <v>642.6</v>
      </c>
      <c r="L893" s="6" t="n">
        <f aca="false">H893*INDEX(Products!$E$2:$E$9,MATCH(E893,Products!$A$2:$A$9,0))</f>
        <v>392</v>
      </c>
      <c r="M893" s="8" t="n">
        <f aca="false">K893-L893</f>
        <v>250.6</v>
      </c>
      <c r="N893" s="2" t="s">
        <v>19</v>
      </c>
      <c r="O893" s="2" t="s">
        <v>62</v>
      </c>
    </row>
    <row r="894" customFormat="false" ht="15" hidden="false" customHeight="false" outlineLevel="0" collapsed="false">
      <c r="A894" s="2" t="s">
        <v>948</v>
      </c>
      <c r="B894" s="3" t="n">
        <v>46017</v>
      </c>
      <c r="C894" s="2" t="s">
        <v>41</v>
      </c>
      <c r="D894" s="2" t="s">
        <v>42</v>
      </c>
      <c r="E894" s="2" t="s">
        <v>26</v>
      </c>
      <c r="F894" s="4" t="str">
        <f aca="false">INDEX(Products!$B$2:$B$9,MATCH(E894,Products!$A$2:$A$9,0))</f>
        <v>Analytics Basic</v>
      </c>
      <c r="G894" s="4" t="str">
        <f aca="false">INDEX(Products!$C$2:$C$9,MATCH(E894,Products!$A$2:$A$9,0))</f>
        <v>Software</v>
      </c>
      <c r="H894" s="5" t="n">
        <v>5</v>
      </c>
      <c r="I894" s="6" t="n">
        <f aca="false">INDEX(Products!$D$2:$D$9,MATCH(E894,Products!$A$2:$A$9,0))</f>
        <v>120</v>
      </c>
      <c r="J894" s="7" t="n">
        <v>0.1</v>
      </c>
      <c r="K894" s="8" t="n">
        <f aca="false">H894*I894*(1-J894)</f>
        <v>540</v>
      </c>
      <c r="L894" s="6" t="n">
        <f aca="false">H894*INDEX(Products!$E$2:$E$9,MATCH(E894,Products!$A$2:$A$9,0))</f>
        <v>90</v>
      </c>
      <c r="M894" s="8" t="n">
        <f aca="false">K894-L894</f>
        <v>450</v>
      </c>
      <c r="N894" s="2" t="s">
        <v>19</v>
      </c>
      <c r="O894" s="2" t="s">
        <v>52</v>
      </c>
    </row>
    <row r="895" customFormat="false" ht="15" hidden="false" customHeight="false" outlineLevel="0" collapsed="false">
      <c r="A895" s="2" t="s">
        <v>949</v>
      </c>
      <c r="B895" s="3" t="n">
        <v>46017</v>
      </c>
      <c r="C895" s="2" t="s">
        <v>16</v>
      </c>
      <c r="D895" s="2" t="s">
        <v>22</v>
      </c>
      <c r="E895" s="2" t="s">
        <v>23</v>
      </c>
      <c r="F895" s="4" t="str">
        <f aca="false">INDEX(Products!$B$2:$B$9,MATCH(E895,Products!$A$2:$A$9,0))</f>
        <v>Sensor Hub S</v>
      </c>
      <c r="G895" s="4" t="str">
        <f aca="false">INDEX(Products!$C$2:$C$9,MATCH(E895,Products!$A$2:$A$9,0))</f>
        <v>Hardware</v>
      </c>
      <c r="H895" s="5" t="n">
        <v>4</v>
      </c>
      <c r="I895" s="6" t="n">
        <f aca="false">INDEX(Products!$D$2:$D$9,MATCH(E895,Products!$A$2:$A$9,0))</f>
        <v>189</v>
      </c>
      <c r="J895" s="7" t="n">
        <v>0.1</v>
      </c>
      <c r="K895" s="8" t="n">
        <f aca="false">H895*I895*(1-J895)</f>
        <v>680.4</v>
      </c>
      <c r="L895" s="6" t="n">
        <f aca="false">H895*INDEX(Products!$E$2:$E$9,MATCH(E895,Products!$A$2:$A$9,0))</f>
        <v>392</v>
      </c>
      <c r="M895" s="8" t="n">
        <f aca="false">K895-L895</f>
        <v>288.4</v>
      </c>
      <c r="N895" s="2" t="s">
        <v>28</v>
      </c>
      <c r="O895" s="2" t="s">
        <v>20</v>
      </c>
    </row>
    <row r="896" customFormat="false" ht="15" hidden="false" customHeight="false" outlineLevel="0" collapsed="false">
      <c r="A896" s="2" t="s">
        <v>950</v>
      </c>
      <c r="B896" s="3" t="n">
        <v>46020</v>
      </c>
      <c r="C896" s="2" t="s">
        <v>47</v>
      </c>
      <c r="D896" s="2" t="s">
        <v>48</v>
      </c>
      <c r="E896" s="2" t="s">
        <v>49</v>
      </c>
      <c r="F896" s="4" t="str">
        <f aca="false">INDEX(Products!$B$2:$B$9,MATCH(E896,Products!$A$2:$A$9,0))</f>
        <v>Mounting Kit</v>
      </c>
      <c r="G896" s="4" t="str">
        <f aca="false">INDEX(Products!$C$2:$C$9,MATCH(E896,Products!$A$2:$A$9,0))</f>
        <v>Accessories</v>
      </c>
      <c r="H896" s="5" t="n">
        <v>10</v>
      </c>
      <c r="I896" s="6" t="n">
        <f aca="false">INDEX(Products!$D$2:$D$9,MATCH(E896,Products!$A$2:$A$9,0))</f>
        <v>39</v>
      </c>
      <c r="J896" s="7" t="n">
        <v>0.1</v>
      </c>
      <c r="K896" s="8" t="n">
        <f aca="false">H896*I896*(1-J896)</f>
        <v>351</v>
      </c>
      <c r="L896" s="6" t="n">
        <f aca="false">H896*INDEX(Products!$E$2:$E$9,MATCH(E896,Products!$A$2:$A$9,0))</f>
        <v>315</v>
      </c>
      <c r="M896" s="8" t="n">
        <f aca="false">K896-L896</f>
        <v>36</v>
      </c>
      <c r="N896" s="2" t="s">
        <v>28</v>
      </c>
      <c r="O896" s="2" t="s">
        <v>72</v>
      </c>
    </row>
    <row r="897" customFormat="false" ht="15" hidden="false" customHeight="false" outlineLevel="0" collapsed="false">
      <c r="A897" s="2" t="s">
        <v>951</v>
      </c>
      <c r="B897" s="3" t="n">
        <v>46020</v>
      </c>
      <c r="C897" s="2" t="s">
        <v>41</v>
      </c>
      <c r="D897" s="2" t="s">
        <v>66</v>
      </c>
      <c r="E897" s="2" t="s">
        <v>23</v>
      </c>
      <c r="F897" s="4" t="str">
        <f aca="false">INDEX(Products!$B$2:$B$9,MATCH(E897,Products!$A$2:$A$9,0))</f>
        <v>Sensor Hub S</v>
      </c>
      <c r="G897" s="4" t="str">
        <f aca="false">INDEX(Products!$C$2:$C$9,MATCH(E897,Products!$A$2:$A$9,0))</f>
        <v>Hardware</v>
      </c>
      <c r="H897" s="5" t="n">
        <v>4</v>
      </c>
      <c r="I897" s="6" t="n">
        <f aca="false">INDEX(Products!$D$2:$D$9,MATCH(E897,Products!$A$2:$A$9,0))</f>
        <v>189</v>
      </c>
      <c r="J897" s="7" t="n">
        <v>0.15</v>
      </c>
      <c r="K897" s="8" t="n">
        <f aca="false">H897*I897*(1-J897)</f>
        <v>642.6</v>
      </c>
      <c r="L897" s="6" t="n">
        <f aca="false">H897*INDEX(Products!$E$2:$E$9,MATCH(E897,Products!$A$2:$A$9,0))</f>
        <v>392</v>
      </c>
      <c r="M897" s="8" t="n">
        <f aca="false">K897-L897</f>
        <v>250.6</v>
      </c>
      <c r="N897" s="2" t="s">
        <v>38</v>
      </c>
      <c r="O897" s="2" t="s">
        <v>52</v>
      </c>
    </row>
    <row r="898" customFormat="false" ht="15" hidden="false" customHeight="false" outlineLevel="0" collapsed="false">
      <c r="A898" s="2" t="s">
        <v>952</v>
      </c>
      <c r="B898" s="3" t="n">
        <v>46020</v>
      </c>
      <c r="C898" s="2" t="s">
        <v>41</v>
      </c>
      <c r="D898" s="2" t="s">
        <v>42</v>
      </c>
      <c r="E898" s="2" t="s">
        <v>32</v>
      </c>
      <c r="F898" s="4" t="str">
        <f aca="false">INDEX(Products!$B$2:$B$9,MATCH(E898,Products!$A$2:$A$9,0))</f>
        <v>Analytics Plus</v>
      </c>
      <c r="G898" s="4" t="str">
        <f aca="false">INDEX(Products!$C$2:$C$9,MATCH(E898,Products!$A$2:$A$9,0))</f>
        <v>Software</v>
      </c>
      <c r="H898" s="5" t="n">
        <v>1</v>
      </c>
      <c r="I898" s="6" t="n">
        <f aca="false">INDEX(Products!$D$2:$D$9,MATCH(E898,Products!$A$2:$A$9,0))</f>
        <v>290</v>
      </c>
      <c r="J898" s="7" t="n">
        <v>0.1</v>
      </c>
      <c r="K898" s="8" t="n">
        <f aca="false">H898*I898*(1-J898)</f>
        <v>261</v>
      </c>
      <c r="L898" s="6" t="n">
        <f aca="false">H898*INDEX(Products!$E$2:$E$9,MATCH(E898,Products!$A$2:$A$9,0))</f>
        <v>41</v>
      </c>
      <c r="M898" s="8" t="n">
        <f aca="false">K898-L898</f>
        <v>220</v>
      </c>
      <c r="N898" s="2" t="s">
        <v>19</v>
      </c>
      <c r="O898" s="2" t="s">
        <v>43</v>
      </c>
    </row>
    <row r="899" customFormat="false" ht="15" hidden="false" customHeight="false" outlineLevel="0" collapsed="false">
      <c r="A899" s="2" t="s">
        <v>953</v>
      </c>
      <c r="B899" s="3" t="n">
        <v>46020</v>
      </c>
      <c r="C899" s="2" t="s">
        <v>16</v>
      </c>
      <c r="D899" s="2" t="s">
        <v>17</v>
      </c>
      <c r="E899" s="2" t="s">
        <v>18</v>
      </c>
      <c r="F899" s="4" t="str">
        <f aca="false">INDEX(Products!$B$2:$B$9,MATCH(E899,Products!$A$2:$A$9,0))</f>
        <v>Sensor Hub Pro</v>
      </c>
      <c r="G899" s="4" t="str">
        <f aca="false">INDEX(Products!$C$2:$C$9,MATCH(E899,Products!$A$2:$A$9,0))</f>
        <v>Hardware</v>
      </c>
      <c r="H899" s="5" t="n">
        <v>8</v>
      </c>
      <c r="I899" s="6" t="n">
        <f aca="false">INDEX(Products!$D$2:$D$9,MATCH(E899,Products!$A$2:$A$9,0))</f>
        <v>349</v>
      </c>
      <c r="J899" s="7" t="n">
        <v>0</v>
      </c>
      <c r="K899" s="8" t="n">
        <f aca="false">H899*I899*(1-J899)</f>
        <v>2792</v>
      </c>
      <c r="L899" s="6" t="n">
        <f aca="false">H899*INDEX(Products!$E$2:$E$9,MATCH(E899,Products!$A$2:$A$9,0))</f>
        <v>1608</v>
      </c>
      <c r="M899" s="8" t="n">
        <f aca="false">K899-L899</f>
        <v>1184</v>
      </c>
      <c r="N899" s="2" t="s">
        <v>28</v>
      </c>
      <c r="O899" s="2" t="s">
        <v>36</v>
      </c>
    </row>
    <row r="900" customFormat="false" ht="15" hidden="false" customHeight="false" outlineLevel="0" collapsed="false">
      <c r="A900" s="2" t="s">
        <v>954</v>
      </c>
      <c r="B900" s="3" t="n">
        <v>46021</v>
      </c>
      <c r="C900" s="2" t="s">
        <v>16</v>
      </c>
      <c r="D900" s="2" t="s">
        <v>17</v>
      </c>
      <c r="E900" s="2" t="s">
        <v>18</v>
      </c>
      <c r="F900" s="4" t="str">
        <f aca="false">INDEX(Products!$B$2:$B$9,MATCH(E900,Products!$A$2:$A$9,0))</f>
        <v>Sensor Hub Pro</v>
      </c>
      <c r="G900" s="4" t="str">
        <f aca="false">INDEX(Products!$C$2:$C$9,MATCH(E900,Products!$A$2:$A$9,0))</f>
        <v>Hardware</v>
      </c>
      <c r="H900" s="5" t="n">
        <v>2</v>
      </c>
      <c r="I900" s="6" t="n">
        <f aca="false">INDEX(Products!$D$2:$D$9,MATCH(E900,Products!$A$2:$A$9,0))</f>
        <v>349</v>
      </c>
      <c r="J900" s="7" t="n">
        <v>0.15</v>
      </c>
      <c r="K900" s="8" t="n">
        <f aca="false">H900*I900*(1-J900)</f>
        <v>593.3</v>
      </c>
      <c r="L900" s="6" t="n">
        <f aca="false">H900*INDEX(Products!$E$2:$E$9,MATCH(E900,Products!$A$2:$A$9,0))</f>
        <v>402</v>
      </c>
      <c r="M900" s="8" t="n">
        <f aca="false">K900-L900</f>
        <v>191.3</v>
      </c>
      <c r="N900" s="2" t="s">
        <v>19</v>
      </c>
      <c r="O900" s="2" t="s">
        <v>20</v>
      </c>
    </row>
    <row r="901" customFormat="false" ht="15" hidden="false" customHeight="false" outlineLevel="0" collapsed="false">
      <c r="A901" s="2" t="s">
        <v>955</v>
      </c>
      <c r="B901" s="3" t="n">
        <v>46021</v>
      </c>
      <c r="C901" s="2" t="s">
        <v>47</v>
      </c>
      <c r="D901" s="2" t="s">
        <v>157</v>
      </c>
      <c r="E901" s="2" t="s">
        <v>23</v>
      </c>
      <c r="F901" s="4" t="str">
        <f aca="false">INDEX(Products!$B$2:$B$9,MATCH(E901,Products!$A$2:$A$9,0))</f>
        <v>Sensor Hub S</v>
      </c>
      <c r="G901" s="4" t="str">
        <f aca="false">INDEX(Products!$C$2:$C$9,MATCH(E901,Products!$A$2:$A$9,0))</f>
        <v>Hardware</v>
      </c>
      <c r="H901" s="5" t="n">
        <v>2</v>
      </c>
      <c r="I901" s="6" t="n">
        <f aca="false">INDEX(Products!$D$2:$D$9,MATCH(E901,Products!$A$2:$A$9,0))</f>
        <v>189</v>
      </c>
      <c r="J901" s="7" t="n">
        <v>0.05</v>
      </c>
      <c r="K901" s="8" t="n">
        <f aca="false">H901*I901*(1-J901)</f>
        <v>359.1</v>
      </c>
      <c r="L901" s="6" t="n">
        <f aca="false">H901*INDEX(Products!$E$2:$E$9,MATCH(E901,Products!$A$2:$A$9,0))</f>
        <v>196</v>
      </c>
      <c r="M901" s="8" t="n">
        <f aca="false">K901-L901</f>
        <v>163.1</v>
      </c>
      <c r="N901" s="2" t="s">
        <v>38</v>
      </c>
      <c r="O901" s="2" t="s">
        <v>50</v>
      </c>
    </row>
    <row r="902" customFormat="false" ht="15" hidden="false" customHeight="false" outlineLevel="0" collapsed="false">
      <c r="A902" s="2" t="s">
        <v>956</v>
      </c>
      <c r="B902" s="3" t="n">
        <v>46021</v>
      </c>
      <c r="C902" s="2" t="s">
        <v>41</v>
      </c>
      <c r="D902" s="2" t="s">
        <v>66</v>
      </c>
      <c r="E902" s="2" t="s">
        <v>23</v>
      </c>
      <c r="F902" s="4" t="str">
        <f aca="false">INDEX(Products!$B$2:$B$9,MATCH(E902,Products!$A$2:$A$9,0))</f>
        <v>Sensor Hub S</v>
      </c>
      <c r="G902" s="4" t="str">
        <f aca="false">INDEX(Products!$C$2:$C$9,MATCH(E902,Products!$A$2:$A$9,0))</f>
        <v>Hardware</v>
      </c>
      <c r="H902" s="5" t="n">
        <v>8</v>
      </c>
      <c r="I902" s="6" t="n">
        <f aca="false">INDEX(Products!$D$2:$D$9,MATCH(E902,Products!$A$2:$A$9,0))</f>
        <v>189</v>
      </c>
      <c r="J902" s="7" t="n">
        <v>0.05</v>
      </c>
      <c r="K902" s="8" t="n">
        <f aca="false">H902*I902*(1-J902)</f>
        <v>1436.4</v>
      </c>
      <c r="L902" s="6" t="n">
        <f aca="false">H902*INDEX(Products!$E$2:$E$9,MATCH(E902,Products!$A$2:$A$9,0))</f>
        <v>784</v>
      </c>
      <c r="M902" s="8" t="n">
        <f aca="false">K902-L902</f>
        <v>652.4</v>
      </c>
      <c r="N902" s="2" t="s">
        <v>38</v>
      </c>
      <c r="O902" s="2" t="s">
        <v>43</v>
      </c>
    </row>
    <row r="903" customFormat="false" ht="15" hidden="false" customHeight="false" outlineLevel="0" collapsed="false">
      <c r="A903" s="2" t="s">
        <v>957</v>
      </c>
      <c r="B903" s="3" t="n">
        <v>46021</v>
      </c>
      <c r="C903" s="2" t="s">
        <v>41</v>
      </c>
      <c r="D903" s="2" t="s">
        <v>42</v>
      </c>
      <c r="E903" s="2" t="s">
        <v>23</v>
      </c>
      <c r="F903" s="4" t="str">
        <f aca="false">INDEX(Products!$B$2:$B$9,MATCH(E903,Products!$A$2:$A$9,0))</f>
        <v>Sensor Hub S</v>
      </c>
      <c r="G903" s="4" t="str">
        <f aca="false">INDEX(Products!$C$2:$C$9,MATCH(E903,Products!$A$2:$A$9,0))</f>
        <v>Hardware</v>
      </c>
      <c r="H903" s="5" t="n">
        <v>1</v>
      </c>
      <c r="I903" s="6" t="n">
        <f aca="false">INDEX(Products!$D$2:$D$9,MATCH(E903,Products!$A$2:$A$9,0))</f>
        <v>189</v>
      </c>
      <c r="J903" s="7" t="n">
        <v>0.15</v>
      </c>
      <c r="K903" s="8" t="n">
        <f aca="false">H903*I903*(1-J903)</f>
        <v>160.65</v>
      </c>
      <c r="L903" s="6" t="n">
        <f aca="false">H903*INDEX(Products!$E$2:$E$9,MATCH(E903,Products!$A$2:$A$9,0))</f>
        <v>98</v>
      </c>
      <c r="M903" s="8" t="n">
        <f aca="false">K903-L903</f>
        <v>62.65</v>
      </c>
      <c r="N903" s="2" t="s">
        <v>28</v>
      </c>
      <c r="O903" s="2" t="s">
        <v>43</v>
      </c>
    </row>
    <row r="904" customFormat="false" ht="15" hidden="false" customHeight="false" outlineLevel="0" collapsed="false">
      <c r="A904" s="2" t="s">
        <v>958</v>
      </c>
      <c r="B904" s="3" t="n">
        <v>46021</v>
      </c>
      <c r="C904" s="2" t="s">
        <v>47</v>
      </c>
      <c r="D904" s="2" t="s">
        <v>55</v>
      </c>
      <c r="E904" s="2" t="s">
        <v>18</v>
      </c>
      <c r="F904" s="4" t="str">
        <f aca="false">INDEX(Products!$B$2:$B$9,MATCH(E904,Products!$A$2:$A$9,0))</f>
        <v>Sensor Hub Pro</v>
      </c>
      <c r="G904" s="4" t="str">
        <f aca="false">INDEX(Products!$C$2:$C$9,MATCH(E904,Products!$A$2:$A$9,0))</f>
        <v>Hardware</v>
      </c>
      <c r="H904" s="5" t="n">
        <v>1</v>
      </c>
      <c r="I904" s="6" t="n">
        <f aca="false">INDEX(Products!$D$2:$D$9,MATCH(E904,Products!$A$2:$A$9,0))</f>
        <v>349</v>
      </c>
      <c r="J904" s="7" t="n">
        <v>0.15</v>
      </c>
      <c r="K904" s="8" t="n">
        <f aca="false">H904*I904*(1-J904)</f>
        <v>296.65</v>
      </c>
      <c r="L904" s="6" t="n">
        <f aca="false">H904*INDEX(Products!$E$2:$E$9,MATCH(E904,Products!$A$2:$A$9,0))</f>
        <v>201</v>
      </c>
      <c r="M904" s="8" t="n">
        <f aca="false">K904-L904</f>
        <v>95.65</v>
      </c>
      <c r="N904" s="2" t="s">
        <v>28</v>
      </c>
      <c r="O904" s="2" t="s">
        <v>72</v>
      </c>
    </row>
    <row r="905" customFormat="false" ht="15" hidden="false" customHeight="false" outlineLevel="0" collapsed="false">
      <c r="A905" s="2" t="s">
        <v>959</v>
      </c>
      <c r="B905" s="3" t="n">
        <v>46022</v>
      </c>
      <c r="C905" s="2" t="s">
        <v>47</v>
      </c>
      <c r="D905" s="2" t="s">
        <v>55</v>
      </c>
      <c r="E905" s="2" t="s">
        <v>23</v>
      </c>
      <c r="F905" s="4" t="str">
        <f aca="false">INDEX(Products!$B$2:$B$9,MATCH(E905,Products!$A$2:$A$9,0))</f>
        <v>Sensor Hub S</v>
      </c>
      <c r="G905" s="4" t="str">
        <f aca="false">INDEX(Products!$C$2:$C$9,MATCH(E905,Products!$A$2:$A$9,0))</f>
        <v>Hardware</v>
      </c>
      <c r="H905" s="5" t="n">
        <v>1</v>
      </c>
      <c r="I905" s="6" t="n">
        <f aca="false">INDEX(Products!$D$2:$D$9,MATCH(E905,Products!$A$2:$A$9,0))</f>
        <v>189</v>
      </c>
      <c r="J905" s="7" t="n">
        <v>0.15</v>
      </c>
      <c r="K905" s="8" t="n">
        <f aca="false">H905*I905*(1-J905)</f>
        <v>160.65</v>
      </c>
      <c r="L905" s="6" t="n">
        <f aca="false">H905*INDEX(Products!$E$2:$E$9,MATCH(E905,Products!$A$2:$A$9,0))</f>
        <v>98</v>
      </c>
      <c r="M905" s="8" t="n">
        <f aca="false">K905-L905</f>
        <v>62.65</v>
      </c>
      <c r="N905" s="2" t="s">
        <v>19</v>
      </c>
      <c r="O905" s="2" t="s">
        <v>50</v>
      </c>
    </row>
    <row r="906" customFormat="false" ht="15" hidden="false" customHeight="false" outlineLevel="0" collapsed="false">
      <c r="A906" s="2" t="s">
        <v>960</v>
      </c>
      <c r="B906" s="3" t="n">
        <v>46022</v>
      </c>
      <c r="C906" s="2" t="s">
        <v>16</v>
      </c>
      <c r="D906" s="2" t="s">
        <v>17</v>
      </c>
      <c r="E906" s="2" t="s">
        <v>18</v>
      </c>
      <c r="F906" s="4" t="str">
        <f aca="false">INDEX(Products!$B$2:$B$9,MATCH(E906,Products!$A$2:$A$9,0))</f>
        <v>Sensor Hub Pro</v>
      </c>
      <c r="G906" s="4" t="str">
        <f aca="false">INDEX(Products!$C$2:$C$9,MATCH(E906,Products!$A$2:$A$9,0))</f>
        <v>Hardware</v>
      </c>
      <c r="H906" s="5" t="n">
        <v>1</v>
      </c>
      <c r="I906" s="6" t="n">
        <f aca="false">INDEX(Products!$D$2:$D$9,MATCH(E906,Products!$A$2:$A$9,0))</f>
        <v>349</v>
      </c>
      <c r="J906" s="7" t="n">
        <v>0</v>
      </c>
      <c r="K906" s="8" t="n">
        <f aca="false">H906*I906*(1-J906)</f>
        <v>349</v>
      </c>
      <c r="L906" s="6" t="n">
        <f aca="false">H906*INDEX(Products!$E$2:$E$9,MATCH(E906,Products!$A$2:$A$9,0))</f>
        <v>201</v>
      </c>
      <c r="M906" s="8" t="n">
        <f aca="false">K906-L906</f>
        <v>148</v>
      </c>
      <c r="N906" s="2" t="s">
        <v>28</v>
      </c>
      <c r="O906" s="2" t="s">
        <v>36</v>
      </c>
    </row>
    <row r="907" customFormat="false" ht="15" hidden="false" customHeight="false" outlineLevel="0" collapsed="false">
      <c r="A907" s="2" t="s">
        <v>961</v>
      </c>
      <c r="B907" s="3" t="n">
        <v>46022</v>
      </c>
      <c r="C907" s="2" t="s">
        <v>59</v>
      </c>
      <c r="D907" s="2" t="s">
        <v>101</v>
      </c>
      <c r="E907" s="2" t="s">
        <v>18</v>
      </c>
      <c r="F907" s="4" t="str">
        <f aca="false">INDEX(Products!$B$2:$B$9,MATCH(E907,Products!$A$2:$A$9,0))</f>
        <v>Sensor Hub Pro</v>
      </c>
      <c r="G907" s="4" t="str">
        <f aca="false">INDEX(Products!$C$2:$C$9,MATCH(E907,Products!$A$2:$A$9,0))</f>
        <v>Hardware</v>
      </c>
      <c r="H907" s="5" t="n">
        <v>2</v>
      </c>
      <c r="I907" s="6" t="n">
        <f aca="false">INDEX(Products!$D$2:$D$9,MATCH(E907,Products!$A$2:$A$9,0))</f>
        <v>349</v>
      </c>
      <c r="J907" s="7" t="n">
        <v>0</v>
      </c>
      <c r="K907" s="8" t="n">
        <f aca="false">H907*I907*(1-J907)</f>
        <v>698</v>
      </c>
      <c r="L907" s="6" t="n">
        <f aca="false">H907*INDEX(Products!$E$2:$E$9,MATCH(E907,Products!$A$2:$A$9,0))</f>
        <v>402</v>
      </c>
      <c r="M907" s="8" t="n">
        <f aca="false">K907-L907</f>
        <v>296</v>
      </c>
      <c r="N907" s="2" t="s">
        <v>28</v>
      </c>
      <c r="O907" s="2" t="s">
        <v>62</v>
      </c>
    </row>
    <row r="908" customFormat="false" ht="15" hidden="false" customHeight="false" outlineLevel="0" collapsed="false">
      <c r="A908" s="2" t="s">
        <v>962</v>
      </c>
      <c r="B908" s="3" t="n">
        <v>46022</v>
      </c>
      <c r="C908" s="2" t="s">
        <v>16</v>
      </c>
      <c r="D908" s="2" t="s">
        <v>35</v>
      </c>
      <c r="E908" s="2" t="s">
        <v>61</v>
      </c>
      <c r="F908" s="4" t="str">
        <f aca="false">INDEX(Products!$B$2:$B$9,MATCH(E908,Products!$A$2:$A$9,0))</f>
        <v>Install Service</v>
      </c>
      <c r="G908" s="4" t="str">
        <f aca="false">INDEX(Products!$C$2:$C$9,MATCH(E908,Products!$A$2:$A$9,0))</f>
        <v>Services</v>
      </c>
      <c r="H908" s="5" t="n">
        <v>1</v>
      </c>
      <c r="I908" s="6" t="n">
        <f aca="false">INDEX(Products!$D$2:$D$9,MATCH(E908,Products!$A$2:$A$9,0))</f>
        <v>450</v>
      </c>
      <c r="J908" s="7" t="n">
        <v>0</v>
      </c>
      <c r="K908" s="8" t="n">
        <f aca="false">H908*I908*(1-J908)</f>
        <v>450</v>
      </c>
      <c r="L908" s="6" t="n">
        <f aca="false">H908*INDEX(Products!$E$2:$E$9,MATCH(E908,Products!$A$2:$A$9,0))</f>
        <v>310</v>
      </c>
      <c r="M908" s="8" t="n">
        <f aca="false">K908-L908</f>
        <v>140</v>
      </c>
      <c r="N908" s="2" t="s">
        <v>38</v>
      </c>
      <c r="O908" s="2" t="s">
        <v>36</v>
      </c>
    </row>
    <row r="909" customFormat="false" ht="15" hidden="false" customHeight="false" outlineLevel="0" collapsed="false">
      <c r="A909" s="2" t="s">
        <v>963</v>
      </c>
      <c r="B909" s="3" t="n">
        <v>46022</v>
      </c>
      <c r="C909" s="2" t="s">
        <v>30</v>
      </c>
      <c r="D909" s="2" t="s">
        <v>31</v>
      </c>
      <c r="E909" s="2" t="s">
        <v>61</v>
      </c>
      <c r="F909" s="4" t="str">
        <f aca="false">INDEX(Products!$B$2:$B$9,MATCH(E909,Products!$A$2:$A$9,0))</f>
        <v>Install Service</v>
      </c>
      <c r="G909" s="4" t="str">
        <f aca="false">INDEX(Products!$C$2:$C$9,MATCH(E909,Products!$A$2:$A$9,0))</f>
        <v>Services</v>
      </c>
      <c r="H909" s="5" t="n">
        <v>3</v>
      </c>
      <c r="I909" s="6" t="n">
        <f aca="false">INDEX(Products!$D$2:$D$9,MATCH(E909,Products!$A$2:$A$9,0))</f>
        <v>450</v>
      </c>
      <c r="J909" s="7" t="n">
        <v>0.05</v>
      </c>
      <c r="K909" s="8" t="n">
        <f aca="false">H909*I909*(1-J909)</f>
        <v>1282.5</v>
      </c>
      <c r="L909" s="6" t="n">
        <f aca="false">H909*INDEX(Products!$E$2:$E$9,MATCH(E909,Products!$A$2:$A$9,0))</f>
        <v>930</v>
      </c>
      <c r="M909" s="8" t="n">
        <f aca="false">K909-L909</f>
        <v>352.5</v>
      </c>
      <c r="N909" s="2" t="s">
        <v>28</v>
      </c>
      <c r="O909" s="2" t="s">
        <v>64</v>
      </c>
    </row>
    <row r="910" customFormat="false" ht="15" hidden="false" customHeight="false" outlineLevel="0" collapsed="false">
      <c r="A910" s="2" t="s">
        <v>964</v>
      </c>
      <c r="B910" s="3" t="n">
        <v>46022</v>
      </c>
      <c r="C910" s="2" t="s">
        <v>30</v>
      </c>
      <c r="D910" s="2" t="s">
        <v>77</v>
      </c>
      <c r="E910" s="2" t="s">
        <v>61</v>
      </c>
      <c r="F910" s="4" t="str">
        <f aca="false">INDEX(Products!$B$2:$B$9,MATCH(E910,Products!$A$2:$A$9,0))</f>
        <v>Install Service</v>
      </c>
      <c r="G910" s="4" t="str">
        <f aca="false">INDEX(Products!$C$2:$C$9,MATCH(E910,Products!$A$2:$A$9,0))</f>
        <v>Services</v>
      </c>
      <c r="H910" s="5" t="n">
        <v>3</v>
      </c>
      <c r="I910" s="6" t="n">
        <f aca="false">INDEX(Products!$D$2:$D$9,MATCH(E910,Products!$A$2:$A$9,0))</f>
        <v>450</v>
      </c>
      <c r="J910" s="7" t="n">
        <v>0</v>
      </c>
      <c r="K910" s="8" t="n">
        <f aca="false">H910*I910*(1-J910)</f>
        <v>1350</v>
      </c>
      <c r="L910" s="6" t="n">
        <f aca="false">H910*INDEX(Products!$E$2:$E$9,MATCH(E910,Products!$A$2:$A$9,0))</f>
        <v>930</v>
      </c>
      <c r="M910" s="8" t="n">
        <f aca="false">K910-L910</f>
        <v>420</v>
      </c>
      <c r="N910" s="2" t="s">
        <v>28</v>
      </c>
      <c r="O910" s="2" t="s">
        <v>64</v>
      </c>
    </row>
    <row r="911" customFormat="false" ht="15" hidden="false" customHeight="false" outlineLevel="0" collapsed="false">
      <c r="A911" s="2" t="s">
        <v>965</v>
      </c>
      <c r="B911" s="3" t="n">
        <v>46023</v>
      </c>
      <c r="C911" s="2" t="s">
        <v>30</v>
      </c>
      <c r="D911" s="2" t="s">
        <v>128</v>
      </c>
      <c r="E911" s="2" t="s">
        <v>26</v>
      </c>
      <c r="F911" s="4" t="str">
        <f aca="false">INDEX(Products!$B$2:$B$9,MATCH(E911,Products!$A$2:$A$9,0))</f>
        <v>Analytics Basic</v>
      </c>
      <c r="G911" s="4" t="str">
        <f aca="false">INDEX(Products!$C$2:$C$9,MATCH(E911,Products!$A$2:$A$9,0))</f>
        <v>Software</v>
      </c>
      <c r="H911" s="5" t="n">
        <v>5</v>
      </c>
      <c r="I911" s="6" t="n">
        <f aca="false">INDEX(Products!$D$2:$D$9,MATCH(E911,Products!$A$2:$A$9,0))</f>
        <v>120</v>
      </c>
      <c r="J911" s="7" t="n">
        <v>0</v>
      </c>
      <c r="K911" s="8" t="n">
        <f aca="false">H911*I911*(1-J911)</f>
        <v>600</v>
      </c>
      <c r="L911" s="6" t="n">
        <f aca="false">H911*INDEX(Products!$E$2:$E$9,MATCH(E911,Products!$A$2:$A$9,0))</f>
        <v>90</v>
      </c>
      <c r="M911" s="8" t="n">
        <f aca="false">K911-L911</f>
        <v>510</v>
      </c>
      <c r="N911" s="2" t="s">
        <v>28</v>
      </c>
      <c r="O911" s="2" t="s">
        <v>33</v>
      </c>
    </row>
    <row r="912" customFormat="false" ht="15" hidden="false" customHeight="false" outlineLevel="0" collapsed="false">
      <c r="A912" s="2" t="s">
        <v>966</v>
      </c>
      <c r="B912" s="3" t="n">
        <v>46023</v>
      </c>
      <c r="C912" s="2" t="s">
        <v>47</v>
      </c>
      <c r="D912" s="2" t="s">
        <v>48</v>
      </c>
      <c r="E912" s="2" t="s">
        <v>26</v>
      </c>
      <c r="F912" s="4" t="str">
        <f aca="false">INDEX(Products!$B$2:$B$9,MATCH(E912,Products!$A$2:$A$9,0))</f>
        <v>Analytics Basic</v>
      </c>
      <c r="G912" s="4" t="str">
        <f aca="false">INDEX(Products!$C$2:$C$9,MATCH(E912,Products!$A$2:$A$9,0))</f>
        <v>Software</v>
      </c>
      <c r="H912" s="5" t="n">
        <v>2</v>
      </c>
      <c r="I912" s="6" t="n">
        <f aca="false">INDEX(Products!$D$2:$D$9,MATCH(E912,Products!$A$2:$A$9,0))</f>
        <v>120</v>
      </c>
      <c r="J912" s="7" t="n">
        <v>0.1</v>
      </c>
      <c r="K912" s="8" t="n">
        <f aca="false">H912*I912*(1-J912)</f>
        <v>216</v>
      </c>
      <c r="L912" s="6" t="n">
        <f aca="false">H912*INDEX(Products!$E$2:$E$9,MATCH(E912,Products!$A$2:$A$9,0))</f>
        <v>36</v>
      </c>
      <c r="M912" s="8" t="n">
        <f aca="false">K912-L912</f>
        <v>180</v>
      </c>
      <c r="N912" s="2" t="s">
        <v>19</v>
      </c>
      <c r="O912" s="2" t="s">
        <v>50</v>
      </c>
    </row>
    <row r="913" customFormat="false" ht="15" hidden="false" customHeight="false" outlineLevel="0" collapsed="false">
      <c r="A913" s="2" t="s">
        <v>967</v>
      </c>
      <c r="B913" s="3" t="n">
        <v>46023</v>
      </c>
      <c r="C913" s="2" t="s">
        <v>59</v>
      </c>
      <c r="D913" s="2" t="s">
        <v>91</v>
      </c>
      <c r="E913" s="2" t="s">
        <v>26</v>
      </c>
      <c r="F913" s="4" t="str">
        <f aca="false">INDEX(Products!$B$2:$B$9,MATCH(E913,Products!$A$2:$A$9,0))</f>
        <v>Analytics Basic</v>
      </c>
      <c r="G913" s="4" t="str">
        <f aca="false">INDEX(Products!$C$2:$C$9,MATCH(E913,Products!$A$2:$A$9,0))</f>
        <v>Software</v>
      </c>
      <c r="H913" s="5" t="n">
        <v>3</v>
      </c>
      <c r="I913" s="6" t="n">
        <f aca="false">INDEX(Products!$D$2:$D$9,MATCH(E913,Products!$A$2:$A$9,0))</f>
        <v>120</v>
      </c>
      <c r="J913" s="7" t="n">
        <v>0</v>
      </c>
      <c r="K913" s="8" t="n">
        <f aca="false">H913*I913*(1-J913)</f>
        <v>360</v>
      </c>
      <c r="L913" s="6" t="n">
        <f aca="false">H913*INDEX(Products!$E$2:$E$9,MATCH(E913,Products!$A$2:$A$9,0))</f>
        <v>54</v>
      </c>
      <c r="M913" s="8" t="n">
        <f aca="false">K913-L913</f>
        <v>306</v>
      </c>
      <c r="N913" s="2" t="s">
        <v>28</v>
      </c>
      <c r="O913" s="2" t="s">
        <v>62</v>
      </c>
    </row>
    <row r="914" customFormat="false" ht="15" hidden="false" customHeight="false" outlineLevel="0" collapsed="false">
      <c r="A914" s="2" t="s">
        <v>968</v>
      </c>
      <c r="B914" s="3" t="n">
        <v>46024</v>
      </c>
      <c r="C914" s="2" t="s">
        <v>47</v>
      </c>
      <c r="D914" s="2" t="s">
        <v>55</v>
      </c>
      <c r="E914" s="2" t="s">
        <v>57</v>
      </c>
      <c r="F914" s="4" t="str">
        <f aca="false">INDEX(Products!$B$2:$B$9,MATCH(E914,Products!$A$2:$A$9,0))</f>
        <v>Edge Gateway</v>
      </c>
      <c r="G914" s="4" t="str">
        <f aca="false">INDEX(Products!$C$2:$C$9,MATCH(E914,Products!$A$2:$A$9,0))</f>
        <v>Hardware</v>
      </c>
      <c r="H914" s="5" t="n">
        <v>3</v>
      </c>
      <c r="I914" s="6" t="n">
        <f aca="false">INDEX(Products!$D$2:$D$9,MATCH(E914,Products!$A$2:$A$9,0))</f>
        <v>899</v>
      </c>
      <c r="J914" s="7" t="n">
        <v>0.1</v>
      </c>
      <c r="K914" s="8" t="n">
        <f aca="false">H914*I914*(1-J914)</f>
        <v>2427.3</v>
      </c>
      <c r="L914" s="6" t="n">
        <f aca="false">H914*INDEX(Products!$E$2:$E$9,MATCH(E914,Products!$A$2:$A$9,0))</f>
        <v>1836</v>
      </c>
      <c r="M914" s="8" t="n">
        <f aca="false">K914-L914</f>
        <v>591.3</v>
      </c>
      <c r="N914" s="2" t="s">
        <v>19</v>
      </c>
      <c r="O914" s="2" t="s">
        <v>50</v>
      </c>
    </row>
    <row r="915" customFormat="false" ht="15" hidden="false" customHeight="false" outlineLevel="0" collapsed="false">
      <c r="A915" s="2" t="s">
        <v>969</v>
      </c>
      <c r="B915" s="3" t="n">
        <v>46024</v>
      </c>
      <c r="C915" s="2" t="s">
        <v>47</v>
      </c>
      <c r="D915" s="2" t="s">
        <v>71</v>
      </c>
      <c r="E915" s="2" t="s">
        <v>57</v>
      </c>
      <c r="F915" s="4" t="str">
        <f aca="false">INDEX(Products!$B$2:$B$9,MATCH(E915,Products!$A$2:$A$9,0))</f>
        <v>Edge Gateway</v>
      </c>
      <c r="G915" s="4" t="str">
        <f aca="false">INDEX(Products!$C$2:$C$9,MATCH(E915,Products!$A$2:$A$9,0))</f>
        <v>Hardware</v>
      </c>
      <c r="H915" s="5" t="n">
        <v>8</v>
      </c>
      <c r="I915" s="6" t="n">
        <f aca="false">INDEX(Products!$D$2:$D$9,MATCH(E915,Products!$A$2:$A$9,0))</f>
        <v>899</v>
      </c>
      <c r="J915" s="7" t="n">
        <v>0.1</v>
      </c>
      <c r="K915" s="8" t="n">
        <f aca="false">H915*I915*(1-J915)</f>
        <v>6472.8</v>
      </c>
      <c r="L915" s="6" t="n">
        <f aca="false">H915*INDEX(Products!$E$2:$E$9,MATCH(E915,Products!$A$2:$A$9,0))</f>
        <v>4896</v>
      </c>
      <c r="M915" s="8" t="n">
        <f aca="false">K915-L915</f>
        <v>1576.8</v>
      </c>
      <c r="N915" s="2" t="s">
        <v>19</v>
      </c>
      <c r="O915" s="2" t="s">
        <v>72</v>
      </c>
    </row>
    <row r="916" customFormat="false" ht="15" hidden="false" customHeight="false" outlineLevel="0" collapsed="false">
      <c r="A916" s="2" t="s">
        <v>970</v>
      </c>
      <c r="B916" s="3" t="n">
        <v>46026</v>
      </c>
      <c r="C916" s="2" t="s">
        <v>16</v>
      </c>
      <c r="D916" s="2" t="s">
        <v>22</v>
      </c>
      <c r="E916" s="2" t="s">
        <v>68</v>
      </c>
      <c r="F916" s="4" t="str">
        <f aca="false">INDEX(Products!$B$2:$B$9,MATCH(E916,Products!$A$2:$A$9,0))</f>
        <v>Premium Support</v>
      </c>
      <c r="G916" s="4" t="str">
        <f aca="false">INDEX(Products!$C$2:$C$9,MATCH(E916,Products!$A$2:$A$9,0))</f>
        <v>Services</v>
      </c>
      <c r="H916" s="5" t="n">
        <v>2</v>
      </c>
      <c r="I916" s="6" t="n">
        <f aca="false">INDEX(Products!$D$2:$D$9,MATCH(E916,Products!$A$2:$A$9,0))</f>
        <v>600</v>
      </c>
      <c r="J916" s="7" t="n">
        <v>0</v>
      </c>
      <c r="K916" s="8" t="n">
        <f aca="false">H916*I916*(1-J916)</f>
        <v>1200</v>
      </c>
      <c r="L916" s="6" t="n">
        <f aca="false">H916*INDEX(Products!$E$2:$E$9,MATCH(E916,Products!$A$2:$A$9,0))</f>
        <v>790</v>
      </c>
      <c r="M916" s="8" t="n">
        <f aca="false">K916-L916</f>
        <v>410</v>
      </c>
      <c r="N916" s="2" t="s">
        <v>38</v>
      </c>
      <c r="O916" s="2" t="s">
        <v>36</v>
      </c>
    </row>
    <row r="917" customFormat="false" ht="15" hidden="false" customHeight="false" outlineLevel="0" collapsed="false">
      <c r="A917" s="2" t="s">
        <v>971</v>
      </c>
      <c r="B917" s="3" t="n">
        <v>46027</v>
      </c>
      <c r="C917" s="2" t="s">
        <v>59</v>
      </c>
      <c r="D917" s="2" t="s">
        <v>60</v>
      </c>
      <c r="E917" s="2" t="s">
        <v>26</v>
      </c>
      <c r="F917" s="4" t="str">
        <f aca="false">INDEX(Products!$B$2:$B$9,MATCH(E917,Products!$A$2:$A$9,0))</f>
        <v>Analytics Basic</v>
      </c>
      <c r="G917" s="4" t="str">
        <f aca="false">INDEX(Products!$C$2:$C$9,MATCH(E917,Products!$A$2:$A$9,0))</f>
        <v>Software</v>
      </c>
      <c r="H917" s="5" t="n">
        <v>1</v>
      </c>
      <c r="I917" s="6" t="n">
        <f aca="false">INDEX(Products!$D$2:$D$9,MATCH(E917,Products!$A$2:$A$9,0))</f>
        <v>120</v>
      </c>
      <c r="J917" s="7" t="n">
        <v>0.05</v>
      </c>
      <c r="K917" s="8" t="n">
        <f aca="false">H917*I917*(1-J917)</f>
        <v>114</v>
      </c>
      <c r="L917" s="6" t="n">
        <f aca="false">H917*INDEX(Products!$E$2:$E$9,MATCH(E917,Products!$A$2:$A$9,0))</f>
        <v>18</v>
      </c>
      <c r="M917" s="8" t="n">
        <f aca="false">K917-L917</f>
        <v>96</v>
      </c>
      <c r="N917" s="2" t="s">
        <v>28</v>
      </c>
      <c r="O917" s="2" t="s">
        <v>62</v>
      </c>
    </row>
    <row r="918" customFormat="false" ht="15" hidden="false" customHeight="false" outlineLevel="0" collapsed="false">
      <c r="A918" s="2" t="s">
        <v>972</v>
      </c>
      <c r="B918" s="3" t="n">
        <v>46027</v>
      </c>
      <c r="C918" s="2" t="s">
        <v>16</v>
      </c>
      <c r="D918" s="2" t="s">
        <v>22</v>
      </c>
      <c r="E918" s="2" t="s">
        <v>57</v>
      </c>
      <c r="F918" s="4" t="str">
        <f aca="false">INDEX(Products!$B$2:$B$9,MATCH(E918,Products!$A$2:$A$9,0))</f>
        <v>Edge Gateway</v>
      </c>
      <c r="G918" s="4" t="str">
        <f aca="false">INDEX(Products!$C$2:$C$9,MATCH(E918,Products!$A$2:$A$9,0))</f>
        <v>Hardware</v>
      </c>
      <c r="H918" s="5" t="n">
        <v>12</v>
      </c>
      <c r="I918" s="6" t="n">
        <f aca="false">INDEX(Products!$D$2:$D$9,MATCH(E918,Products!$A$2:$A$9,0))</f>
        <v>899</v>
      </c>
      <c r="J918" s="7" t="n">
        <v>0.1</v>
      </c>
      <c r="K918" s="8" t="n">
        <f aca="false">H918*I918*(1-J918)</f>
        <v>9709.2</v>
      </c>
      <c r="L918" s="6" t="n">
        <f aca="false">H918*INDEX(Products!$E$2:$E$9,MATCH(E918,Products!$A$2:$A$9,0))</f>
        <v>7344</v>
      </c>
      <c r="M918" s="8" t="n">
        <f aca="false">K918-L918</f>
        <v>2365.2</v>
      </c>
      <c r="N918" s="2" t="s">
        <v>38</v>
      </c>
      <c r="O918" s="2" t="s">
        <v>36</v>
      </c>
    </row>
    <row r="919" customFormat="false" ht="15" hidden="false" customHeight="false" outlineLevel="0" collapsed="false">
      <c r="A919" s="2" t="s">
        <v>973</v>
      </c>
      <c r="B919" s="3" t="n">
        <v>46027</v>
      </c>
      <c r="C919" s="2" t="s">
        <v>47</v>
      </c>
      <c r="D919" s="2" t="s">
        <v>55</v>
      </c>
      <c r="E919" s="2" t="s">
        <v>23</v>
      </c>
      <c r="F919" s="4" t="str">
        <f aca="false">INDEX(Products!$B$2:$B$9,MATCH(E919,Products!$A$2:$A$9,0))</f>
        <v>Sensor Hub S</v>
      </c>
      <c r="G919" s="4" t="str">
        <f aca="false">INDEX(Products!$C$2:$C$9,MATCH(E919,Products!$A$2:$A$9,0))</f>
        <v>Hardware</v>
      </c>
      <c r="H919" s="5" t="n">
        <v>2</v>
      </c>
      <c r="I919" s="6" t="n">
        <f aca="false">INDEX(Products!$D$2:$D$9,MATCH(E919,Products!$A$2:$A$9,0))</f>
        <v>189</v>
      </c>
      <c r="J919" s="7" t="n">
        <v>0.15</v>
      </c>
      <c r="K919" s="8" t="n">
        <f aca="false">H919*I919*(1-J919)</f>
        <v>321.3</v>
      </c>
      <c r="L919" s="6" t="n">
        <f aca="false">H919*INDEX(Products!$E$2:$E$9,MATCH(E919,Products!$A$2:$A$9,0))</f>
        <v>196</v>
      </c>
      <c r="M919" s="8" t="n">
        <f aca="false">K919-L919</f>
        <v>125.3</v>
      </c>
      <c r="N919" s="2" t="s">
        <v>19</v>
      </c>
      <c r="O919" s="2" t="s">
        <v>72</v>
      </c>
    </row>
    <row r="920" customFormat="false" ht="15" hidden="false" customHeight="false" outlineLevel="0" collapsed="false">
      <c r="A920" s="2" t="s">
        <v>974</v>
      </c>
      <c r="B920" s="3" t="n">
        <v>46027</v>
      </c>
      <c r="C920" s="2" t="s">
        <v>30</v>
      </c>
      <c r="D920" s="2" t="s">
        <v>128</v>
      </c>
      <c r="E920" s="2" t="s">
        <v>61</v>
      </c>
      <c r="F920" s="4" t="str">
        <f aca="false">INDEX(Products!$B$2:$B$9,MATCH(E920,Products!$A$2:$A$9,0))</f>
        <v>Install Service</v>
      </c>
      <c r="G920" s="4" t="str">
        <f aca="false">INDEX(Products!$C$2:$C$9,MATCH(E920,Products!$A$2:$A$9,0))</f>
        <v>Services</v>
      </c>
      <c r="H920" s="5" t="n">
        <v>1</v>
      </c>
      <c r="I920" s="6" t="n">
        <f aca="false">INDEX(Products!$D$2:$D$9,MATCH(E920,Products!$A$2:$A$9,0))</f>
        <v>450</v>
      </c>
      <c r="J920" s="7" t="n">
        <v>0.25</v>
      </c>
      <c r="K920" s="8" t="n">
        <f aca="false">H920*I920*(1-J920)</f>
        <v>337.5</v>
      </c>
      <c r="L920" s="6" t="n">
        <f aca="false">H920*INDEX(Products!$E$2:$E$9,MATCH(E920,Products!$A$2:$A$9,0))</f>
        <v>310</v>
      </c>
      <c r="M920" s="8" t="n">
        <f aca="false">K920-L920</f>
        <v>27.5</v>
      </c>
      <c r="N920" s="2" t="s">
        <v>19</v>
      </c>
      <c r="O920" s="2" t="s">
        <v>33</v>
      </c>
    </row>
    <row r="921" customFormat="false" ht="15" hidden="false" customHeight="false" outlineLevel="0" collapsed="false">
      <c r="A921" s="2" t="s">
        <v>975</v>
      </c>
      <c r="B921" s="3" t="n">
        <v>46027</v>
      </c>
      <c r="C921" s="2" t="s">
        <v>41</v>
      </c>
      <c r="D921" s="2" t="s">
        <v>66</v>
      </c>
      <c r="E921" s="2" t="s">
        <v>68</v>
      </c>
      <c r="F921" s="4" t="str">
        <f aca="false">INDEX(Products!$B$2:$B$9,MATCH(E921,Products!$A$2:$A$9,0))</f>
        <v>Premium Support</v>
      </c>
      <c r="G921" s="4" t="str">
        <f aca="false">INDEX(Products!$C$2:$C$9,MATCH(E921,Products!$A$2:$A$9,0))</f>
        <v>Services</v>
      </c>
      <c r="H921" s="5" t="n">
        <v>2</v>
      </c>
      <c r="I921" s="6" t="n">
        <f aca="false">INDEX(Products!$D$2:$D$9,MATCH(E921,Products!$A$2:$A$9,0))</f>
        <v>600</v>
      </c>
      <c r="J921" s="7" t="n">
        <v>0.1</v>
      </c>
      <c r="K921" s="8" t="n">
        <f aca="false">H921*I921*(1-J921)</f>
        <v>1080</v>
      </c>
      <c r="L921" s="6" t="n">
        <f aca="false">H921*INDEX(Products!$E$2:$E$9,MATCH(E921,Products!$A$2:$A$9,0))</f>
        <v>790</v>
      </c>
      <c r="M921" s="8" t="n">
        <f aca="false">K921-L921</f>
        <v>290</v>
      </c>
      <c r="N921" s="2" t="s">
        <v>28</v>
      </c>
      <c r="O921" s="2" t="s">
        <v>52</v>
      </c>
    </row>
    <row r="922" customFormat="false" ht="15" hidden="false" customHeight="false" outlineLevel="0" collapsed="false">
      <c r="A922" s="2" t="s">
        <v>976</v>
      </c>
      <c r="B922" s="3" t="n">
        <v>46028</v>
      </c>
      <c r="C922" s="2" t="s">
        <v>47</v>
      </c>
      <c r="D922" s="2" t="s">
        <v>48</v>
      </c>
      <c r="E922" s="2" t="s">
        <v>23</v>
      </c>
      <c r="F922" s="4" t="str">
        <f aca="false">INDEX(Products!$B$2:$B$9,MATCH(E922,Products!$A$2:$A$9,0))</f>
        <v>Sensor Hub S</v>
      </c>
      <c r="G922" s="4" t="str">
        <f aca="false">INDEX(Products!$C$2:$C$9,MATCH(E922,Products!$A$2:$A$9,0))</f>
        <v>Hardware</v>
      </c>
      <c r="H922" s="5" t="n">
        <v>8</v>
      </c>
      <c r="I922" s="6" t="n">
        <f aca="false">INDEX(Products!$D$2:$D$9,MATCH(E922,Products!$A$2:$A$9,0))</f>
        <v>189</v>
      </c>
      <c r="J922" s="7" t="n">
        <v>0.1</v>
      </c>
      <c r="K922" s="8" t="n">
        <f aca="false">H922*I922*(1-J922)</f>
        <v>1360.8</v>
      </c>
      <c r="L922" s="6" t="n">
        <f aca="false">H922*INDEX(Products!$E$2:$E$9,MATCH(E922,Products!$A$2:$A$9,0))</f>
        <v>784</v>
      </c>
      <c r="M922" s="8" t="n">
        <f aca="false">K922-L922</f>
        <v>576.8</v>
      </c>
      <c r="N922" s="2" t="s">
        <v>28</v>
      </c>
      <c r="O922" s="2" t="s">
        <v>72</v>
      </c>
    </row>
    <row r="923" customFormat="false" ht="15" hidden="false" customHeight="false" outlineLevel="0" collapsed="false">
      <c r="A923" s="2" t="s">
        <v>977</v>
      </c>
      <c r="B923" s="3" t="n">
        <v>46028</v>
      </c>
      <c r="C923" s="2" t="s">
        <v>16</v>
      </c>
      <c r="D923" s="2" t="s">
        <v>22</v>
      </c>
      <c r="E923" s="2" t="s">
        <v>23</v>
      </c>
      <c r="F923" s="4" t="str">
        <f aca="false">INDEX(Products!$B$2:$B$9,MATCH(E923,Products!$A$2:$A$9,0))</f>
        <v>Sensor Hub S</v>
      </c>
      <c r="G923" s="4" t="str">
        <f aca="false">INDEX(Products!$C$2:$C$9,MATCH(E923,Products!$A$2:$A$9,0))</f>
        <v>Hardware</v>
      </c>
      <c r="H923" s="5" t="n">
        <v>1</v>
      </c>
      <c r="I923" s="6" t="n">
        <f aca="false">INDEX(Products!$D$2:$D$9,MATCH(E923,Products!$A$2:$A$9,0))</f>
        <v>189</v>
      </c>
      <c r="J923" s="7" t="n">
        <v>0</v>
      </c>
      <c r="K923" s="8" t="n">
        <f aca="false">H923*I923*(1-J923)</f>
        <v>189</v>
      </c>
      <c r="L923" s="6" t="n">
        <f aca="false">H923*INDEX(Products!$E$2:$E$9,MATCH(E923,Products!$A$2:$A$9,0))</f>
        <v>98</v>
      </c>
      <c r="M923" s="8" t="n">
        <f aca="false">K923-L923</f>
        <v>91</v>
      </c>
      <c r="N923" s="2" t="s">
        <v>28</v>
      </c>
      <c r="O923" s="2" t="s">
        <v>20</v>
      </c>
    </row>
    <row r="924" customFormat="false" ht="15" hidden="false" customHeight="false" outlineLevel="0" collapsed="false">
      <c r="A924" s="2" t="s">
        <v>978</v>
      </c>
      <c r="B924" s="3" t="n">
        <v>46029</v>
      </c>
      <c r="C924" s="2" t="s">
        <v>41</v>
      </c>
      <c r="D924" s="2" t="s">
        <v>42</v>
      </c>
      <c r="E924" s="2" t="s">
        <v>18</v>
      </c>
      <c r="F924" s="4" t="str">
        <f aca="false">INDEX(Products!$B$2:$B$9,MATCH(E924,Products!$A$2:$A$9,0))</f>
        <v>Sensor Hub Pro</v>
      </c>
      <c r="G924" s="4" t="str">
        <f aca="false">INDEX(Products!$C$2:$C$9,MATCH(E924,Products!$A$2:$A$9,0))</f>
        <v>Hardware</v>
      </c>
      <c r="H924" s="5" t="n">
        <v>3</v>
      </c>
      <c r="I924" s="6" t="n">
        <f aca="false">INDEX(Products!$D$2:$D$9,MATCH(E924,Products!$A$2:$A$9,0))</f>
        <v>349</v>
      </c>
      <c r="J924" s="7" t="n">
        <v>0.1</v>
      </c>
      <c r="K924" s="8" t="n">
        <f aca="false">H924*I924*(1-J924)</f>
        <v>942.3</v>
      </c>
      <c r="L924" s="6" t="n">
        <f aca="false">H924*INDEX(Products!$E$2:$E$9,MATCH(E924,Products!$A$2:$A$9,0))</f>
        <v>603</v>
      </c>
      <c r="M924" s="8" t="n">
        <f aca="false">K924-L924</f>
        <v>339.3</v>
      </c>
      <c r="N924" s="2" t="s">
        <v>19</v>
      </c>
      <c r="O924" s="2" t="s">
        <v>52</v>
      </c>
    </row>
    <row r="925" customFormat="false" ht="15" hidden="false" customHeight="false" outlineLevel="0" collapsed="false">
      <c r="A925" s="2" t="s">
        <v>979</v>
      </c>
      <c r="B925" s="3" t="n">
        <v>46029</v>
      </c>
      <c r="C925" s="2" t="s">
        <v>30</v>
      </c>
      <c r="D925" s="2" t="s">
        <v>77</v>
      </c>
      <c r="E925" s="2" t="s">
        <v>18</v>
      </c>
      <c r="F925" s="4" t="str">
        <f aca="false">INDEX(Products!$B$2:$B$9,MATCH(E925,Products!$A$2:$A$9,0))</f>
        <v>Sensor Hub Pro</v>
      </c>
      <c r="G925" s="4" t="str">
        <f aca="false">INDEX(Products!$C$2:$C$9,MATCH(E925,Products!$A$2:$A$9,0))</f>
        <v>Hardware</v>
      </c>
      <c r="H925" s="5" t="n">
        <v>20</v>
      </c>
      <c r="I925" s="6" t="n">
        <f aca="false">INDEX(Products!$D$2:$D$9,MATCH(E925,Products!$A$2:$A$9,0))</f>
        <v>349</v>
      </c>
      <c r="J925" s="7" t="n">
        <v>0.05</v>
      </c>
      <c r="K925" s="8" t="n">
        <f aca="false">H925*I925*(1-J925)</f>
        <v>6631</v>
      </c>
      <c r="L925" s="6" t="n">
        <f aca="false">H925*INDEX(Products!$E$2:$E$9,MATCH(E925,Products!$A$2:$A$9,0))</f>
        <v>4020</v>
      </c>
      <c r="M925" s="8" t="n">
        <f aca="false">K925-L925</f>
        <v>2611</v>
      </c>
      <c r="N925" s="2" t="s">
        <v>28</v>
      </c>
      <c r="O925" s="2" t="s">
        <v>33</v>
      </c>
    </row>
    <row r="926" customFormat="false" ht="15" hidden="false" customHeight="false" outlineLevel="0" collapsed="false">
      <c r="A926" s="2" t="s">
        <v>980</v>
      </c>
      <c r="B926" s="3" t="n">
        <v>46029</v>
      </c>
      <c r="C926" s="2" t="s">
        <v>30</v>
      </c>
      <c r="D926" s="2" t="s">
        <v>77</v>
      </c>
      <c r="E926" s="2" t="s">
        <v>26</v>
      </c>
      <c r="F926" s="4" t="str">
        <f aca="false">INDEX(Products!$B$2:$B$9,MATCH(E926,Products!$A$2:$A$9,0))</f>
        <v>Analytics Basic</v>
      </c>
      <c r="G926" s="4" t="str">
        <f aca="false">INDEX(Products!$C$2:$C$9,MATCH(E926,Products!$A$2:$A$9,0))</f>
        <v>Software</v>
      </c>
      <c r="H926" s="5" t="n">
        <v>1</v>
      </c>
      <c r="I926" s="6" t="n">
        <f aca="false">INDEX(Products!$D$2:$D$9,MATCH(E926,Products!$A$2:$A$9,0))</f>
        <v>120</v>
      </c>
      <c r="J926" s="7" t="n">
        <v>0</v>
      </c>
      <c r="K926" s="8" t="n">
        <f aca="false">H926*I926*(1-J926)</f>
        <v>120</v>
      </c>
      <c r="L926" s="6" t="n">
        <f aca="false">H926*INDEX(Products!$E$2:$E$9,MATCH(E926,Products!$A$2:$A$9,0))</f>
        <v>18</v>
      </c>
      <c r="M926" s="8" t="n">
        <f aca="false">K926-L926</f>
        <v>102</v>
      </c>
      <c r="N926" s="2" t="s">
        <v>38</v>
      </c>
      <c r="O926" s="2" t="s">
        <v>64</v>
      </c>
    </row>
    <row r="927" customFormat="false" ht="15" hidden="false" customHeight="false" outlineLevel="0" collapsed="false">
      <c r="A927" s="2" t="s">
        <v>981</v>
      </c>
      <c r="B927" s="3" t="n">
        <v>46030</v>
      </c>
      <c r="C927" s="2" t="s">
        <v>47</v>
      </c>
      <c r="D927" s="2" t="s">
        <v>157</v>
      </c>
      <c r="E927" s="2" t="s">
        <v>26</v>
      </c>
      <c r="F927" s="4" t="str">
        <f aca="false">INDEX(Products!$B$2:$B$9,MATCH(E927,Products!$A$2:$A$9,0))</f>
        <v>Analytics Basic</v>
      </c>
      <c r="G927" s="4" t="str">
        <f aca="false">INDEX(Products!$C$2:$C$9,MATCH(E927,Products!$A$2:$A$9,0))</f>
        <v>Software</v>
      </c>
      <c r="H927" s="5" t="n">
        <v>1</v>
      </c>
      <c r="I927" s="6" t="n">
        <f aca="false">INDEX(Products!$D$2:$D$9,MATCH(E927,Products!$A$2:$A$9,0))</f>
        <v>120</v>
      </c>
      <c r="J927" s="7" t="n">
        <v>0.1</v>
      </c>
      <c r="K927" s="8" t="n">
        <f aca="false">H927*I927*(1-J927)</f>
        <v>108</v>
      </c>
      <c r="L927" s="6" t="n">
        <f aca="false">H927*INDEX(Products!$E$2:$E$9,MATCH(E927,Products!$A$2:$A$9,0))</f>
        <v>18</v>
      </c>
      <c r="M927" s="8" t="n">
        <f aca="false">K927-L927</f>
        <v>90</v>
      </c>
      <c r="N927" s="2" t="s">
        <v>28</v>
      </c>
      <c r="O927" s="2" t="s">
        <v>72</v>
      </c>
    </row>
    <row r="928" customFormat="false" ht="15" hidden="false" customHeight="false" outlineLevel="0" collapsed="false">
      <c r="A928" s="2" t="s">
        <v>982</v>
      </c>
      <c r="B928" s="3" t="n">
        <v>46030</v>
      </c>
      <c r="C928" s="2" t="s">
        <v>47</v>
      </c>
      <c r="D928" s="2" t="s">
        <v>71</v>
      </c>
      <c r="E928" s="2" t="s">
        <v>23</v>
      </c>
      <c r="F928" s="4" t="str">
        <f aca="false">INDEX(Products!$B$2:$B$9,MATCH(E928,Products!$A$2:$A$9,0))</f>
        <v>Sensor Hub S</v>
      </c>
      <c r="G928" s="4" t="str">
        <f aca="false">INDEX(Products!$C$2:$C$9,MATCH(E928,Products!$A$2:$A$9,0))</f>
        <v>Hardware</v>
      </c>
      <c r="H928" s="5" t="n">
        <v>5</v>
      </c>
      <c r="I928" s="6" t="n">
        <f aca="false">INDEX(Products!$D$2:$D$9,MATCH(E928,Products!$A$2:$A$9,0))</f>
        <v>189</v>
      </c>
      <c r="J928" s="7" t="n">
        <v>0</v>
      </c>
      <c r="K928" s="8" t="n">
        <f aca="false">H928*I928*(1-J928)</f>
        <v>945</v>
      </c>
      <c r="L928" s="6" t="n">
        <f aca="false">H928*INDEX(Products!$E$2:$E$9,MATCH(E928,Products!$A$2:$A$9,0))</f>
        <v>490</v>
      </c>
      <c r="M928" s="8" t="n">
        <f aca="false">K928-L928</f>
        <v>455</v>
      </c>
      <c r="N928" s="2" t="s">
        <v>28</v>
      </c>
      <c r="O928" s="2" t="s">
        <v>50</v>
      </c>
    </row>
    <row r="929" customFormat="false" ht="15" hidden="false" customHeight="false" outlineLevel="0" collapsed="false">
      <c r="A929" s="2" t="s">
        <v>983</v>
      </c>
      <c r="B929" s="3" t="n">
        <v>46031</v>
      </c>
      <c r="C929" s="2" t="s">
        <v>47</v>
      </c>
      <c r="D929" s="2" t="s">
        <v>71</v>
      </c>
      <c r="E929" s="2" t="s">
        <v>68</v>
      </c>
      <c r="F929" s="4" t="str">
        <f aca="false">INDEX(Products!$B$2:$B$9,MATCH(E929,Products!$A$2:$A$9,0))</f>
        <v>Premium Support</v>
      </c>
      <c r="G929" s="4" t="str">
        <f aca="false">INDEX(Products!$C$2:$C$9,MATCH(E929,Products!$A$2:$A$9,0))</f>
        <v>Services</v>
      </c>
      <c r="H929" s="5" t="n">
        <v>3</v>
      </c>
      <c r="I929" s="6" t="n">
        <f aca="false">INDEX(Products!$D$2:$D$9,MATCH(E929,Products!$A$2:$A$9,0))</f>
        <v>600</v>
      </c>
      <c r="J929" s="7" t="n">
        <v>0</v>
      </c>
      <c r="K929" s="8" t="n">
        <f aca="false">H929*I929*(1-J929)</f>
        <v>1800</v>
      </c>
      <c r="L929" s="6" t="n">
        <f aca="false">H929*INDEX(Products!$E$2:$E$9,MATCH(E929,Products!$A$2:$A$9,0))</f>
        <v>1185</v>
      </c>
      <c r="M929" s="8" t="n">
        <f aca="false">K929-L929</f>
        <v>615</v>
      </c>
      <c r="N929" s="2" t="s">
        <v>28</v>
      </c>
      <c r="O929" s="2" t="s">
        <v>50</v>
      </c>
    </row>
    <row r="930" customFormat="false" ht="15" hidden="false" customHeight="false" outlineLevel="0" collapsed="false">
      <c r="A930" s="2" t="s">
        <v>984</v>
      </c>
      <c r="B930" s="3" t="n">
        <v>46031</v>
      </c>
      <c r="C930" s="2" t="s">
        <v>41</v>
      </c>
      <c r="D930" s="2" t="s">
        <v>42</v>
      </c>
      <c r="E930" s="2" t="s">
        <v>57</v>
      </c>
      <c r="F930" s="4" t="str">
        <f aca="false">INDEX(Products!$B$2:$B$9,MATCH(E930,Products!$A$2:$A$9,0))</f>
        <v>Edge Gateway</v>
      </c>
      <c r="G930" s="4" t="str">
        <f aca="false">INDEX(Products!$C$2:$C$9,MATCH(E930,Products!$A$2:$A$9,0))</f>
        <v>Hardware</v>
      </c>
      <c r="H930" s="5" t="n">
        <v>3</v>
      </c>
      <c r="I930" s="6" t="n">
        <f aca="false">INDEX(Products!$D$2:$D$9,MATCH(E930,Products!$A$2:$A$9,0))</f>
        <v>899</v>
      </c>
      <c r="J930" s="7" t="n">
        <v>0</v>
      </c>
      <c r="K930" s="8" t="n">
        <f aca="false">H930*I930*(1-J930)</f>
        <v>2697</v>
      </c>
      <c r="L930" s="6" t="n">
        <f aca="false">H930*INDEX(Products!$E$2:$E$9,MATCH(E930,Products!$A$2:$A$9,0))</f>
        <v>1836</v>
      </c>
      <c r="M930" s="8" t="n">
        <f aca="false">K930-L930</f>
        <v>861</v>
      </c>
      <c r="N930" s="2" t="s">
        <v>28</v>
      </c>
      <c r="O930" s="2" t="s">
        <v>43</v>
      </c>
    </row>
    <row r="931" customFormat="false" ht="15" hidden="false" customHeight="false" outlineLevel="0" collapsed="false">
      <c r="A931" s="2" t="s">
        <v>985</v>
      </c>
      <c r="B931" s="3" t="n">
        <v>46031</v>
      </c>
      <c r="C931" s="2" t="s">
        <v>30</v>
      </c>
      <c r="D931" s="2" t="s">
        <v>77</v>
      </c>
      <c r="E931" s="2" t="s">
        <v>57</v>
      </c>
      <c r="F931" s="4" t="str">
        <f aca="false">INDEX(Products!$B$2:$B$9,MATCH(E931,Products!$A$2:$A$9,0))</f>
        <v>Edge Gateway</v>
      </c>
      <c r="G931" s="4" t="str">
        <f aca="false">INDEX(Products!$C$2:$C$9,MATCH(E931,Products!$A$2:$A$9,0))</f>
        <v>Hardware</v>
      </c>
      <c r="H931" s="5" t="n">
        <v>12</v>
      </c>
      <c r="I931" s="6" t="n">
        <f aca="false">INDEX(Products!$D$2:$D$9,MATCH(E931,Products!$A$2:$A$9,0))</f>
        <v>899</v>
      </c>
      <c r="J931" s="7" t="n">
        <v>0.25</v>
      </c>
      <c r="K931" s="8" t="n">
        <f aca="false">H931*I931*(1-J931)</f>
        <v>8091</v>
      </c>
      <c r="L931" s="6" t="n">
        <f aca="false">H931*INDEX(Products!$E$2:$E$9,MATCH(E931,Products!$A$2:$A$9,0))</f>
        <v>7344</v>
      </c>
      <c r="M931" s="8" t="n">
        <f aca="false">K931-L931</f>
        <v>747</v>
      </c>
      <c r="N931" s="2" t="s">
        <v>28</v>
      </c>
      <c r="O931" s="2" t="s">
        <v>33</v>
      </c>
    </row>
    <row r="932" customFormat="false" ht="15" hidden="false" customHeight="false" outlineLevel="0" collapsed="false">
      <c r="A932" s="2" t="s">
        <v>986</v>
      </c>
      <c r="B932" s="3" t="n">
        <v>46034</v>
      </c>
      <c r="C932" s="2" t="s">
        <v>41</v>
      </c>
      <c r="D932" s="2" t="s">
        <v>42</v>
      </c>
      <c r="E932" s="2" t="s">
        <v>32</v>
      </c>
      <c r="F932" s="4" t="str">
        <f aca="false">INDEX(Products!$B$2:$B$9,MATCH(E932,Products!$A$2:$A$9,0))</f>
        <v>Analytics Plus</v>
      </c>
      <c r="G932" s="4" t="str">
        <f aca="false">INDEX(Products!$C$2:$C$9,MATCH(E932,Products!$A$2:$A$9,0))</f>
        <v>Software</v>
      </c>
      <c r="H932" s="5" t="n">
        <v>5</v>
      </c>
      <c r="I932" s="6" t="n">
        <f aca="false">INDEX(Products!$D$2:$D$9,MATCH(E932,Products!$A$2:$A$9,0))</f>
        <v>290</v>
      </c>
      <c r="J932" s="7" t="n">
        <v>0</v>
      </c>
      <c r="K932" s="8" t="n">
        <f aca="false">H932*I932*(1-J932)</f>
        <v>1450</v>
      </c>
      <c r="L932" s="6" t="n">
        <f aca="false">H932*INDEX(Products!$E$2:$E$9,MATCH(E932,Products!$A$2:$A$9,0))</f>
        <v>205</v>
      </c>
      <c r="M932" s="8" t="n">
        <f aca="false">K932-L932</f>
        <v>1245</v>
      </c>
      <c r="N932" s="2" t="s">
        <v>28</v>
      </c>
      <c r="O932" s="2" t="s">
        <v>52</v>
      </c>
    </row>
    <row r="933" customFormat="false" ht="15" hidden="false" customHeight="false" outlineLevel="0" collapsed="false">
      <c r="A933" s="2" t="s">
        <v>987</v>
      </c>
      <c r="B933" s="3" t="n">
        <v>46034</v>
      </c>
      <c r="C933" s="2" t="s">
        <v>16</v>
      </c>
      <c r="D933" s="2" t="s">
        <v>25</v>
      </c>
      <c r="E933" s="2" t="s">
        <v>26</v>
      </c>
      <c r="F933" s="4" t="str">
        <f aca="false">INDEX(Products!$B$2:$B$9,MATCH(E933,Products!$A$2:$A$9,0))</f>
        <v>Analytics Basic</v>
      </c>
      <c r="G933" s="4" t="str">
        <f aca="false">INDEX(Products!$C$2:$C$9,MATCH(E933,Products!$A$2:$A$9,0))</f>
        <v>Software</v>
      </c>
      <c r="H933" s="5" t="n">
        <v>1</v>
      </c>
      <c r="I933" s="6" t="n">
        <f aca="false">INDEX(Products!$D$2:$D$9,MATCH(E933,Products!$A$2:$A$9,0))</f>
        <v>120</v>
      </c>
      <c r="J933" s="7" t="n">
        <v>0.15</v>
      </c>
      <c r="K933" s="8" t="n">
        <f aca="false">H933*I933*(1-J933)</f>
        <v>102</v>
      </c>
      <c r="L933" s="6" t="n">
        <f aca="false">H933*INDEX(Products!$E$2:$E$9,MATCH(E933,Products!$A$2:$A$9,0))</f>
        <v>18</v>
      </c>
      <c r="M933" s="8" t="n">
        <f aca="false">K933-L933</f>
        <v>84</v>
      </c>
      <c r="N933" s="2" t="s">
        <v>28</v>
      </c>
      <c r="O933" s="2" t="s">
        <v>20</v>
      </c>
    </row>
    <row r="934" customFormat="false" ht="15" hidden="false" customHeight="false" outlineLevel="0" collapsed="false">
      <c r="A934" s="2" t="s">
        <v>988</v>
      </c>
      <c r="B934" s="3" t="n">
        <v>46035</v>
      </c>
      <c r="C934" s="2" t="s">
        <v>16</v>
      </c>
      <c r="D934" s="2" t="s">
        <v>25</v>
      </c>
      <c r="E934" s="2" t="s">
        <v>32</v>
      </c>
      <c r="F934" s="4" t="str">
        <f aca="false">INDEX(Products!$B$2:$B$9,MATCH(E934,Products!$A$2:$A$9,0))</f>
        <v>Analytics Plus</v>
      </c>
      <c r="G934" s="4" t="str">
        <f aca="false">INDEX(Products!$C$2:$C$9,MATCH(E934,Products!$A$2:$A$9,0))</f>
        <v>Software</v>
      </c>
      <c r="H934" s="5" t="n">
        <v>3</v>
      </c>
      <c r="I934" s="6" t="n">
        <f aca="false">INDEX(Products!$D$2:$D$9,MATCH(E934,Products!$A$2:$A$9,0))</f>
        <v>290</v>
      </c>
      <c r="J934" s="7" t="n">
        <v>0</v>
      </c>
      <c r="K934" s="8" t="n">
        <f aca="false">H934*I934*(1-J934)</f>
        <v>870</v>
      </c>
      <c r="L934" s="6" t="n">
        <f aca="false">H934*INDEX(Products!$E$2:$E$9,MATCH(E934,Products!$A$2:$A$9,0))</f>
        <v>123</v>
      </c>
      <c r="M934" s="8" t="n">
        <f aca="false">K934-L934</f>
        <v>747</v>
      </c>
      <c r="N934" s="2" t="s">
        <v>28</v>
      </c>
      <c r="O934" s="2" t="s">
        <v>20</v>
      </c>
    </row>
    <row r="935" customFormat="false" ht="15" hidden="false" customHeight="false" outlineLevel="0" collapsed="false">
      <c r="A935" s="2" t="s">
        <v>989</v>
      </c>
      <c r="B935" s="3" t="n">
        <v>46035</v>
      </c>
      <c r="C935" s="2" t="s">
        <v>47</v>
      </c>
      <c r="D935" s="2" t="s">
        <v>48</v>
      </c>
      <c r="E935" s="2" t="s">
        <v>23</v>
      </c>
      <c r="F935" s="4" t="str">
        <f aca="false">INDEX(Products!$B$2:$B$9,MATCH(E935,Products!$A$2:$A$9,0))</f>
        <v>Sensor Hub S</v>
      </c>
      <c r="G935" s="4" t="str">
        <f aca="false">INDEX(Products!$C$2:$C$9,MATCH(E935,Products!$A$2:$A$9,0))</f>
        <v>Hardware</v>
      </c>
      <c r="H935" s="5" t="n">
        <v>8</v>
      </c>
      <c r="I935" s="6" t="n">
        <f aca="false">INDEX(Products!$D$2:$D$9,MATCH(E935,Products!$A$2:$A$9,0))</f>
        <v>189</v>
      </c>
      <c r="J935" s="7" t="n">
        <v>0.1</v>
      </c>
      <c r="K935" s="8" t="n">
        <f aca="false">H935*I935*(1-J935)</f>
        <v>1360.8</v>
      </c>
      <c r="L935" s="6" t="n">
        <f aca="false">H935*INDEX(Products!$E$2:$E$9,MATCH(E935,Products!$A$2:$A$9,0))</f>
        <v>784</v>
      </c>
      <c r="M935" s="8" t="n">
        <f aca="false">K935-L935</f>
        <v>576.8</v>
      </c>
      <c r="N935" s="2" t="s">
        <v>28</v>
      </c>
      <c r="O935" s="2" t="s">
        <v>50</v>
      </c>
    </row>
    <row r="936" customFormat="false" ht="15" hidden="false" customHeight="false" outlineLevel="0" collapsed="false">
      <c r="A936" s="2" t="s">
        <v>990</v>
      </c>
      <c r="B936" s="3" t="n">
        <v>46036</v>
      </c>
      <c r="C936" s="2" t="s">
        <v>41</v>
      </c>
      <c r="D936" s="2" t="s">
        <v>42</v>
      </c>
      <c r="E936" s="2" t="s">
        <v>23</v>
      </c>
      <c r="F936" s="4" t="str">
        <f aca="false">INDEX(Products!$B$2:$B$9,MATCH(E936,Products!$A$2:$A$9,0))</f>
        <v>Sensor Hub S</v>
      </c>
      <c r="G936" s="4" t="str">
        <f aca="false">INDEX(Products!$C$2:$C$9,MATCH(E936,Products!$A$2:$A$9,0))</f>
        <v>Hardware</v>
      </c>
      <c r="H936" s="5" t="n">
        <v>3</v>
      </c>
      <c r="I936" s="6" t="n">
        <f aca="false">INDEX(Products!$D$2:$D$9,MATCH(E936,Products!$A$2:$A$9,0))</f>
        <v>189</v>
      </c>
      <c r="J936" s="7" t="n">
        <v>0.05</v>
      </c>
      <c r="K936" s="8" t="n">
        <f aca="false">H936*I936*(1-J936)</f>
        <v>538.65</v>
      </c>
      <c r="L936" s="6" t="n">
        <f aca="false">H936*INDEX(Products!$E$2:$E$9,MATCH(E936,Products!$A$2:$A$9,0))</f>
        <v>294</v>
      </c>
      <c r="M936" s="8" t="n">
        <f aca="false">K936-L936</f>
        <v>244.65</v>
      </c>
      <c r="N936" s="2" t="s">
        <v>28</v>
      </c>
      <c r="O936" s="2" t="s">
        <v>52</v>
      </c>
    </row>
    <row r="937" customFormat="false" ht="15" hidden="false" customHeight="false" outlineLevel="0" collapsed="false">
      <c r="A937" s="2" t="s">
        <v>991</v>
      </c>
      <c r="B937" s="3" t="n">
        <v>46037</v>
      </c>
      <c r="C937" s="2" t="s">
        <v>41</v>
      </c>
      <c r="D937" s="2" t="s">
        <v>42</v>
      </c>
      <c r="E937" s="2" t="s">
        <v>49</v>
      </c>
      <c r="F937" s="4" t="str">
        <f aca="false">INDEX(Products!$B$2:$B$9,MATCH(E937,Products!$A$2:$A$9,0))</f>
        <v>Mounting Kit</v>
      </c>
      <c r="G937" s="4" t="str">
        <f aca="false">INDEX(Products!$C$2:$C$9,MATCH(E937,Products!$A$2:$A$9,0))</f>
        <v>Accessories</v>
      </c>
      <c r="H937" s="5" t="n">
        <v>1</v>
      </c>
      <c r="I937" s="6" t="n">
        <f aca="false">INDEX(Products!$D$2:$D$9,MATCH(E937,Products!$A$2:$A$9,0))</f>
        <v>39</v>
      </c>
      <c r="J937" s="7" t="n">
        <v>0.15</v>
      </c>
      <c r="K937" s="8" t="n">
        <f aca="false">H937*I937*(1-J937)</f>
        <v>33.15</v>
      </c>
      <c r="L937" s="6" t="n">
        <f aca="false">H937*INDEX(Products!$E$2:$E$9,MATCH(E937,Products!$A$2:$A$9,0))</f>
        <v>31.5</v>
      </c>
      <c r="M937" s="8" t="n">
        <f aca="false">K937-L937</f>
        <v>1.65</v>
      </c>
      <c r="N937" s="2" t="s">
        <v>19</v>
      </c>
      <c r="O937" s="2" t="s">
        <v>52</v>
      </c>
    </row>
    <row r="938" customFormat="false" ht="15" hidden="false" customHeight="false" outlineLevel="0" collapsed="false">
      <c r="A938" s="2" t="s">
        <v>992</v>
      </c>
      <c r="B938" s="3" t="n">
        <v>46037</v>
      </c>
      <c r="C938" s="2" t="s">
        <v>16</v>
      </c>
      <c r="D938" s="2" t="s">
        <v>17</v>
      </c>
      <c r="E938" s="2" t="s">
        <v>18</v>
      </c>
      <c r="F938" s="4" t="str">
        <f aca="false">INDEX(Products!$B$2:$B$9,MATCH(E938,Products!$A$2:$A$9,0))</f>
        <v>Sensor Hub Pro</v>
      </c>
      <c r="G938" s="4" t="str">
        <f aca="false">INDEX(Products!$C$2:$C$9,MATCH(E938,Products!$A$2:$A$9,0))</f>
        <v>Hardware</v>
      </c>
      <c r="H938" s="5" t="n">
        <v>12</v>
      </c>
      <c r="I938" s="6" t="n">
        <f aca="false">INDEX(Products!$D$2:$D$9,MATCH(E938,Products!$A$2:$A$9,0))</f>
        <v>349</v>
      </c>
      <c r="J938" s="7" t="n">
        <v>0</v>
      </c>
      <c r="K938" s="8" t="n">
        <f aca="false">H938*I938*(1-J938)</f>
        <v>4188</v>
      </c>
      <c r="L938" s="6" t="n">
        <f aca="false">H938*INDEX(Products!$E$2:$E$9,MATCH(E938,Products!$A$2:$A$9,0))</f>
        <v>2412</v>
      </c>
      <c r="M938" s="8" t="n">
        <f aca="false">K938-L938</f>
        <v>1776</v>
      </c>
      <c r="N938" s="2" t="s">
        <v>28</v>
      </c>
      <c r="O938" s="2" t="s">
        <v>36</v>
      </c>
    </row>
    <row r="939" customFormat="false" ht="15" hidden="false" customHeight="false" outlineLevel="0" collapsed="false">
      <c r="A939" s="2" t="s">
        <v>993</v>
      </c>
      <c r="B939" s="3" t="n">
        <v>46037</v>
      </c>
      <c r="C939" s="2" t="s">
        <v>41</v>
      </c>
      <c r="D939" s="2" t="s">
        <v>66</v>
      </c>
      <c r="E939" s="2" t="s">
        <v>18</v>
      </c>
      <c r="F939" s="4" t="str">
        <f aca="false">INDEX(Products!$B$2:$B$9,MATCH(E939,Products!$A$2:$A$9,0))</f>
        <v>Sensor Hub Pro</v>
      </c>
      <c r="G939" s="4" t="str">
        <f aca="false">INDEX(Products!$C$2:$C$9,MATCH(E939,Products!$A$2:$A$9,0))</f>
        <v>Hardware</v>
      </c>
      <c r="H939" s="5" t="n">
        <v>12</v>
      </c>
      <c r="I939" s="6" t="n">
        <f aca="false">INDEX(Products!$D$2:$D$9,MATCH(E939,Products!$A$2:$A$9,0))</f>
        <v>349</v>
      </c>
      <c r="J939" s="7" t="n">
        <v>0.15</v>
      </c>
      <c r="K939" s="8" t="n">
        <f aca="false">H939*I939*(1-J939)</f>
        <v>3559.8</v>
      </c>
      <c r="L939" s="6" t="n">
        <f aca="false">H939*INDEX(Products!$E$2:$E$9,MATCH(E939,Products!$A$2:$A$9,0))</f>
        <v>2412</v>
      </c>
      <c r="M939" s="8" t="n">
        <f aca="false">K939-L939</f>
        <v>1147.8</v>
      </c>
      <c r="N939" s="2" t="s">
        <v>19</v>
      </c>
      <c r="O939" s="2" t="s">
        <v>43</v>
      </c>
    </row>
    <row r="940" customFormat="false" ht="15" hidden="false" customHeight="false" outlineLevel="0" collapsed="false">
      <c r="A940" s="2" t="s">
        <v>994</v>
      </c>
      <c r="B940" s="3" t="n">
        <v>46038</v>
      </c>
      <c r="C940" s="2" t="s">
        <v>30</v>
      </c>
      <c r="D940" s="2" t="s">
        <v>77</v>
      </c>
      <c r="E940" s="2" t="s">
        <v>26</v>
      </c>
      <c r="F940" s="4" t="str">
        <f aca="false">INDEX(Products!$B$2:$B$9,MATCH(E940,Products!$A$2:$A$9,0))</f>
        <v>Analytics Basic</v>
      </c>
      <c r="G940" s="4" t="str">
        <f aca="false">INDEX(Products!$C$2:$C$9,MATCH(E940,Products!$A$2:$A$9,0))</f>
        <v>Software</v>
      </c>
      <c r="H940" s="5" t="n">
        <v>1</v>
      </c>
      <c r="I940" s="6" t="n">
        <f aca="false">INDEX(Products!$D$2:$D$9,MATCH(E940,Products!$A$2:$A$9,0))</f>
        <v>120</v>
      </c>
      <c r="J940" s="7" t="n">
        <v>0.05</v>
      </c>
      <c r="K940" s="8" t="n">
        <f aca="false">H940*I940*(1-J940)</f>
        <v>114</v>
      </c>
      <c r="L940" s="6" t="n">
        <f aca="false">H940*INDEX(Products!$E$2:$E$9,MATCH(E940,Products!$A$2:$A$9,0))</f>
        <v>18</v>
      </c>
      <c r="M940" s="8" t="n">
        <f aca="false">K940-L940</f>
        <v>96</v>
      </c>
      <c r="N940" s="2" t="s">
        <v>28</v>
      </c>
      <c r="O940" s="2" t="s">
        <v>64</v>
      </c>
    </row>
    <row r="941" customFormat="false" ht="15" hidden="false" customHeight="false" outlineLevel="0" collapsed="false">
      <c r="A941" s="2" t="s">
        <v>995</v>
      </c>
      <c r="B941" s="3" t="n">
        <v>46038</v>
      </c>
      <c r="C941" s="2" t="s">
        <v>47</v>
      </c>
      <c r="D941" s="2" t="s">
        <v>48</v>
      </c>
      <c r="E941" s="2" t="s">
        <v>18</v>
      </c>
      <c r="F941" s="4" t="str">
        <f aca="false">INDEX(Products!$B$2:$B$9,MATCH(E941,Products!$A$2:$A$9,0))</f>
        <v>Sensor Hub Pro</v>
      </c>
      <c r="G941" s="4" t="str">
        <f aca="false">INDEX(Products!$C$2:$C$9,MATCH(E941,Products!$A$2:$A$9,0))</f>
        <v>Hardware</v>
      </c>
      <c r="H941" s="5" t="n">
        <v>10</v>
      </c>
      <c r="I941" s="6" t="n">
        <f aca="false">INDEX(Products!$D$2:$D$9,MATCH(E941,Products!$A$2:$A$9,0))</f>
        <v>349</v>
      </c>
      <c r="J941" s="7" t="n">
        <v>0.15</v>
      </c>
      <c r="K941" s="8" t="n">
        <f aca="false">H941*I941*(1-J941)</f>
        <v>2966.5</v>
      </c>
      <c r="L941" s="6" t="n">
        <f aca="false">H941*INDEX(Products!$E$2:$E$9,MATCH(E941,Products!$A$2:$A$9,0))</f>
        <v>2010</v>
      </c>
      <c r="M941" s="8" t="n">
        <f aca="false">K941-L941</f>
        <v>956.5</v>
      </c>
      <c r="N941" s="2" t="s">
        <v>28</v>
      </c>
      <c r="O941" s="2" t="s">
        <v>72</v>
      </c>
    </row>
    <row r="942" customFormat="false" ht="15" hidden="false" customHeight="false" outlineLevel="0" collapsed="false">
      <c r="A942" s="2" t="s">
        <v>996</v>
      </c>
      <c r="B942" s="3" t="n">
        <v>46038</v>
      </c>
      <c r="C942" s="2" t="s">
        <v>41</v>
      </c>
      <c r="D942" s="2" t="s">
        <v>66</v>
      </c>
      <c r="E942" s="2" t="s">
        <v>26</v>
      </c>
      <c r="F942" s="4" t="str">
        <f aca="false">INDEX(Products!$B$2:$B$9,MATCH(E942,Products!$A$2:$A$9,0))</f>
        <v>Analytics Basic</v>
      </c>
      <c r="G942" s="4" t="str">
        <f aca="false">INDEX(Products!$C$2:$C$9,MATCH(E942,Products!$A$2:$A$9,0))</f>
        <v>Software</v>
      </c>
      <c r="H942" s="5" t="n">
        <v>1</v>
      </c>
      <c r="I942" s="6" t="n">
        <f aca="false">INDEX(Products!$D$2:$D$9,MATCH(E942,Products!$A$2:$A$9,0))</f>
        <v>120</v>
      </c>
      <c r="J942" s="7" t="n">
        <v>0.1</v>
      </c>
      <c r="K942" s="8" t="n">
        <f aca="false">H942*I942*(1-J942)</f>
        <v>108</v>
      </c>
      <c r="L942" s="6" t="n">
        <f aca="false">H942*INDEX(Products!$E$2:$E$9,MATCH(E942,Products!$A$2:$A$9,0))</f>
        <v>18</v>
      </c>
      <c r="M942" s="8" t="n">
        <f aca="false">K942-L942</f>
        <v>90</v>
      </c>
      <c r="N942" s="2" t="s">
        <v>19</v>
      </c>
      <c r="O942" s="2" t="s">
        <v>52</v>
      </c>
    </row>
    <row r="943" customFormat="false" ht="15" hidden="false" customHeight="false" outlineLevel="0" collapsed="false">
      <c r="A943" s="2" t="s">
        <v>997</v>
      </c>
      <c r="B943" s="3" t="n">
        <v>46041</v>
      </c>
      <c r="C943" s="2" t="s">
        <v>47</v>
      </c>
      <c r="D943" s="2" t="s">
        <v>157</v>
      </c>
      <c r="E943" s="2" t="s">
        <v>26</v>
      </c>
      <c r="F943" s="4" t="str">
        <f aca="false">INDEX(Products!$B$2:$B$9,MATCH(E943,Products!$A$2:$A$9,0))</f>
        <v>Analytics Basic</v>
      </c>
      <c r="G943" s="4" t="str">
        <f aca="false">INDEX(Products!$C$2:$C$9,MATCH(E943,Products!$A$2:$A$9,0))</f>
        <v>Software</v>
      </c>
      <c r="H943" s="5" t="n">
        <v>5</v>
      </c>
      <c r="I943" s="6" t="n">
        <f aca="false">INDEX(Products!$D$2:$D$9,MATCH(E943,Products!$A$2:$A$9,0))</f>
        <v>120</v>
      </c>
      <c r="J943" s="7" t="n">
        <v>0</v>
      </c>
      <c r="K943" s="8" t="n">
        <f aca="false">H943*I943*(1-J943)</f>
        <v>600</v>
      </c>
      <c r="L943" s="6" t="n">
        <f aca="false">H943*INDEX(Products!$E$2:$E$9,MATCH(E943,Products!$A$2:$A$9,0))</f>
        <v>90</v>
      </c>
      <c r="M943" s="8" t="n">
        <f aca="false">K943-L943</f>
        <v>510</v>
      </c>
      <c r="N943" s="2" t="s">
        <v>28</v>
      </c>
      <c r="O943" s="2" t="s">
        <v>50</v>
      </c>
    </row>
    <row r="944" customFormat="false" ht="15" hidden="false" customHeight="false" outlineLevel="0" collapsed="false">
      <c r="A944" s="2" t="s">
        <v>998</v>
      </c>
      <c r="B944" s="3" t="n">
        <v>46041</v>
      </c>
      <c r="C944" s="2" t="s">
        <v>16</v>
      </c>
      <c r="D944" s="2" t="s">
        <v>25</v>
      </c>
      <c r="E944" s="2" t="s">
        <v>23</v>
      </c>
      <c r="F944" s="4" t="str">
        <f aca="false">INDEX(Products!$B$2:$B$9,MATCH(E944,Products!$A$2:$A$9,0))</f>
        <v>Sensor Hub S</v>
      </c>
      <c r="G944" s="4" t="str">
        <f aca="false">INDEX(Products!$C$2:$C$9,MATCH(E944,Products!$A$2:$A$9,0))</f>
        <v>Hardware</v>
      </c>
      <c r="H944" s="5" t="n">
        <v>20</v>
      </c>
      <c r="I944" s="6" t="n">
        <f aca="false">INDEX(Products!$D$2:$D$9,MATCH(E944,Products!$A$2:$A$9,0))</f>
        <v>189</v>
      </c>
      <c r="J944" s="7" t="n">
        <v>0.25</v>
      </c>
      <c r="K944" s="8" t="n">
        <f aca="false">H944*I944*(1-J944)</f>
        <v>2835</v>
      </c>
      <c r="L944" s="6" t="n">
        <f aca="false">H944*INDEX(Products!$E$2:$E$9,MATCH(E944,Products!$A$2:$A$9,0))</f>
        <v>1960</v>
      </c>
      <c r="M944" s="8" t="n">
        <f aca="false">K944-L944</f>
        <v>875</v>
      </c>
      <c r="N944" s="2" t="s">
        <v>19</v>
      </c>
      <c r="O944" s="2" t="s">
        <v>20</v>
      </c>
    </row>
    <row r="945" customFormat="false" ht="15" hidden="false" customHeight="false" outlineLevel="0" collapsed="false">
      <c r="A945" s="2" t="s">
        <v>999</v>
      </c>
      <c r="B945" s="3" t="n">
        <v>46041</v>
      </c>
      <c r="C945" s="2" t="s">
        <v>47</v>
      </c>
      <c r="D945" s="2" t="s">
        <v>71</v>
      </c>
      <c r="E945" s="2" t="s">
        <v>68</v>
      </c>
      <c r="F945" s="4" t="str">
        <f aca="false">INDEX(Products!$B$2:$B$9,MATCH(E945,Products!$A$2:$A$9,0))</f>
        <v>Premium Support</v>
      </c>
      <c r="G945" s="4" t="str">
        <f aca="false">INDEX(Products!$C$2:$C$9,MATCH(E945,Products!$A$2:$A$9,0))</f>
        <v>Services</v>
      </c>
      <c r="H945" s="5" t="n">
        <v>1</v>
      </c>
      <c r="I945" s="6" t="n">
        <f aca="false">INDEX(Products!$D$2:$D$9,MATCH(E945,Products!$A$2:$A$9,0))</f>
        <v>600</v>
      </c>
      <c r="J945" s="7" t="n">
        <v>0.25</v>
      </c>
      <c r="K945" s="8" t="n">
        <f aca="false">H945*I945*(1-J945)</f>
        <v>450</v>
      </c>
      <c r="L945" s="6" t="n">
        <f aca="false">H945*INDEX(Products!$E$2:$E$9,MATCH(E945,Products!$A$2:$A$9,0))</f>
        <v>395</v>
      </c>
      <c r="M945" s="8" t="n">
        <f aca="false">K945-L945</f>
        <v>55</v>
      </c>
      <c r="N945" s="2" t="s">
        <v>19</v>
      </c>
      <c r="O945" s="2" t="s">
        <v>50</v>
      </c>
    </row>
    <row r="946" customFormat="false" ht="15" hidden="false" customHeight="false" outlineLevel="0" collapsed="false">
      <c r="A946" s="2" t="s">
        <v>1000</v>
      </c>
      <c r="B946" s="3" t="n">
        <v>46042</v>
      </c>
      <c r="C946" s="2" t="s">
        <v>16</v>
      </c>
      <c r="D946" s="2" t="s">
        <v>22</v>
      </c>
      <c r="E946" s="2" t="s">
        <v>32</v>
      </c>
      <c r="F946" s="4" t="str">
        <f aca="false">INDEX(Products!$B$2:$B$9,MATCH(E946,Products!$A$2:$A$9,0))</f>
        <v>Analytics Plus</v>
      </c>
      <c r="G946" s="4" t="str">
        <f aca="false">INDEX(Products!$C$2:$C$9,MATCH(E946,Products!$A$2:$A$9,0))</f>
        <v>Software</v>
      </c>
      <c r="H946" s="5" t="n">
        <v>2</v>
      </c>
      <c r="I946" s="6" t="n">
        <f aca="false">INDEX(Products!$D$2:$D$9,MATCH(E946,Products!$A$2:$A$9,0))</f>
        <v>290</v>
      </c>
      <c r="J946" s="7" t="n">
        <v>0</v>
      </c>
      <c r="K946" s="8" t="n">
        <f aca="false">H946*I946*(1-J946)</f>
        <v>580</v>
      </c>
      <c r="L946" s="6" t="n">
        <f aca="false">H946*INDEX(Products!$E$2:$E$9,MATCH(E946,Products!$A$2:$A$9,0))</f>
        <v>82</v>
      </c>
      <c r="M946" s="8" t="n">
        <f aca="false">K946-L946</f>
        <v>498</v>
      </c>
      <c r="N946" s="2" t="s">
        <v>28</v>
      </c>
      <c r="O946" s="2" t="s">
        <v>36</v>
      </c>
    </row>
    <row r="947" customFormat="false" ht="15" hidden="false" customHeight="false" outlineLevel="0" collapsed="false">
      <c r="A947" s="2" t="s">
        <v>1001</v>
      </c>
      <c r="B947" s="3" t="n">
        <v>46042</v>
      </c>
      <c r="C947" s="2" t="s">
        <v>16</v>
      </c>
      <c r="D947" s="2" t="s">
        <v>25</v>
      </c>
      <c r="E947" s="2" t="s">
        <v>68</v>
      </c>
      <c r="F947" s="4" t="str">
        <f aca="false">INDEX(Products!$B$2:$B$9,MATCH(E947,Products!$A$2:$A$9,0))</f>
        <v>Premium Support</v>
      </c>
      <c r="G947" s="4" t="str">
        <f aca="false">INDEX(Products!$C$2:$C$9,MATCH(E947,Products!$A$2:$A$9,0))</f>
        <v>Services</v>
      </c>
      <c r="H947" s="5" t="n">
        <v>2</v>
      </c>
      <c r="I947" s="6" t="n">
        <f aca="false">INDEX(Products!$D$2:$D$9,MATCH(E947,Products!$A$2:$A$9,0))</f>
        <v>600</v>
      </c>
      <c r="J947" s="7" t="n">
        <v>0.05</v>
      </c>
      <c r="K947" s="8" t="n">
        <f aca="false">H947*I947*(1-J947)</f>
        <v>1140</v>
      </c>
      <c r="L947" s="6" t="n">
        <f aca="false">H947*INDEX(Products!$E$2:$E$9,MATCH(E947,Products!$A$2:$A$9,0))</f>
        <v>790</v>
      </c>
      <c r="M947" s="8" t="n">
        <f aca="false">K947-L947</f>
        <v>350</v>
      </c>
      <c r="N947" s="2" t="s">
        <v>28</v>
      </c>
      <c r="O947" s="2" t="s">
        <v>36</v>
      </c>
    </row>
    <row r="948" customFormat="false" ht="15" hidden="false" customHeight="false" outlineLevel="0" collapsed="false">
      <c r="A948" s="2" t="s">
        <v>1002</v>
      </c>
      <c r="B948" s="3" t="n">
        <v>46042</v>
      </c>
      <c r="C948" s="2" t="s">
        <v>16</v>
      </c>
      <c r="D948" s="2" t="s">
        <v>35</v>
      </c>
      <c r="E948" s="2" t="s">
        <v>18</v>
      </c>
      <c r="F948" s="4" t="str">
        <f aca="false">INDEX(Products!$B$2:$B$9,MATCH(E948,Products!$A$2:$A$9,0))</f>
        <v>Sensor Hub Pro</v>
      </c>
      <c r="G948" s="4" t="str">
        <f aca="false">INDEX(Products!$C$2:$C$9,MATCH(E948,Products!$A$2:$A$9,0))</f>
        <v>Hardware</v>
      </c>
      <c r="H948" s="5" t="n">
        <v>1</v>
      </c>
      <c r="I948" s="6" t="n">
        <f aca="false">INDEX(Products!$D$2:$D$9,MATCH(E948,Products!$A$2:$A$9,0))</f>
        <v>349</v>
      </c>
      <c r="J948" s="7" t="n">
        <v>0.15</v>
      </c>
      <c r="K948" s="8" t="n">
        <f aca="false">H948*I948*(1-J948)</f>
        <v>296.65</v>
      </c>
      <c r="L948" s="6" t="n">
        <f aca="false">H948*INDEX(Products!$E$2:$E$9,MATCH(E948,Products!$A$2:$A$9,0))</f>
        <v>201</v>
      </c>
      <c r="M948" s="8" t="n">
        <f aca="false">K948-L948</f>
        <v>95.65</v>
      </c>
      <c r="N948" s="2" t="s">
        <v>28</v>
      </c>
      <c r="O948" s="2" t="s">
        <v>36</v>
      </c>
    </row>
    <row r="949" customFormat="false" ht="15" hidden="false" customHeight="false" outlineLevel="0" collapsed="false">
      <c r="A949" s="2" t="s">
        <v>1003</v>
      </c>
      <c r="B949" s="3" t="n">
        <v>46042</v>
      </c>
      <c r="C949" s="2" t="s">
        <v>41</v>
      </c>
      <c r="D949" s="2" t="s">
        <v>42</v>
      </c>
      <c r="E949" s="2" t="s">
        <v>23</v>
      </c>
      <c r="F949" s="4" t="str">
        <f aca="false">INDEX(Products!$B$2:$B$9,MATCH(E949,Products!$A$2:$A$9,0))</f>
        <v>Sensor Hub S</v>
      </c>
      <c r="G949" s="4" t="str">
        <f aca="false">INDEX(Products!$C$2:$C$9,MATCH(E949,Products!$A$2:$A$9,0))</f>
        <v>Hardware</v>
      </c>
      <c r="H949" s="5" t="n">
        <v>8</v>
      </c>
      <c r="I949" s="6" t="n">
        <f aca="false">INDEX(Products!$D$2:$D$9,MATCH(E949,Products!$A$2:$A$9,0))</f>
        <v>189</v>
      </c>
      <c r="J949" s="7" t="n">
        <v>0.1</v>
      </c>
      <c r="K949" s="8" t="n">
        <f aca="false">H949*I949*(1-J949)</f>
        <v>1360.8</v>
      </c>
      <c r="L949" s="6" t="n">
        <f aca="false">H949*INDEX(Products!$E$2:$E$9,MATCH(E949,Products!$A$2:$A$9,0))</f>
        <v>784</v>
      </c>
      <c r="M949" s="8" t="n">
        <f aca="false">K949-L949</f>
        <v>576.8</v>
      </c>
      <c r="N949" s="2" t="s">
        <v>19</v>
      </c>
      <c r="O949" s="2" t="s">
        <v>52</v>
      </c>
    </row>
    <row r="950" customFormat="false" ht="15" hidden="false" customHeight="false" outlineLevel="0" collapsed="false">
      <c r="A950" s="2" t="s">
        <v>1004</v>
      </c>
      <c r="B950" s="3" t="n">
        <v>46043</v>
      </c>
      <c r="C950" s="2" t="s">
        <v>41</v>
      </c>
      <c r="D950" s="2" t="s">
        <v>42</v>
      </c>
      <c r="E950" s="2" t="s">
        <v>68</v>
      </c>
      <c r="F950" s="4" t="str">
        <f aca="false">INDEX(Products!$B$2:$B$9,MATCH(E950,Products!$A$2:$A$9,0))</f>
        <v>Premium Support</v>
      </c>
      <c r="G950" s="4" t="str">
        <f aca="false">INDEX(Products!$C$2:$C$9,MATCH(E950,Products!$A$2:$A$9,0))</f>
        <v>Services</v>
      </c>
      <c r="H950" s="5" t="n">
        <v>2</v>
      </c>
      <c r="I950" s="6" t="n">
        <f aca="false">INDEX(Products!$D$2:$D$9,MATCH(E950,Products!$A$2:$A$9,0))</f>
        <v>600</v>
      </c>
      <c r="J950" s="7" t="n">
        <v>0.1</v>
      </c>
      <c r="K950" s="8" t="n">
        <f aca="false">H950*I950*(1-J950)</f>
        <v>1080</v>
      </c>
      <c r="L950" s="6" t="n">
        <f aca="false">H950*INDEX(Products!$E$2:$E$9,MATCH(E950,Products!$A$2:$A$9,0))</f>
        <v>790</v>
      </c>
      <c r="M950" s="8" t="n">
        <f aca="false">K950-L950</f>
        <v>290</v>
      </c>
      <c r="N950" s="2" t="s">
        <v>38</v>
      </c>
      <c r="O950" s="2" t="s">
        <v>52</v>
      </c>
    </row>
    <row r="951" customFormat="false" ht="15" hidden="false" customHeight="false" outlineLevel="0" collapsed="false">
      <c r="A951" s="2" t="s">
        <v>1005</v>
      </c>
      <c r="B951" s="3" t="n">
        <v>46043</v>
      </c>
      <c r="C951" s="2" t="s">
        <v>59</v>
      </c>
      <c r="D951" s="2" t="s">
        <v>60</v>
      </c>
      <c r="E951" s="2" t="s">
        <v>61</v>
      </c>
      <c r="F951" s="4" t="str">
        <f aca="false">INDEX(Products!$B$2:$B$9,MATCH(E951,Products!$A$2:$A$9,0))</f>
        <v>Install Service</v>
      </c>
      <c r="G951" s="4" t="str">
        <f aca="false">INDEX(Products!$C$2:$C$9,MATCH(E951,Products!$A$2:$A$9,0))</f>
        <v>Services</v>
      </c>
      <c r="H951" s="5" t="n">
        <v>1</v>
      </c>
      <c r="I951" s="6" t="n">
        <f aca="false">INDEX(Products!$D$2:$D$9,MATCH(E951,Products!$A$2:$A$9,0))</f>
        <v>450</v>
      </c>
      <c r="J951" s="7" t="n">
        <v>0.05</v>
      </c>
      <c r="K951" s="8" t="n">
        <f aca="false">H951*I951*(1-J951)</f>
        <v>427.5</v>
      </c>
      <c r="L951" s="6" t="n">
        <f aca="false">H951*INDEX(Products!$E$2:$E$9,MATCH(E951,Products!$A$2:$A$9,0))</f>
        <v>310</v>
      </c>
      <c r="M951" s="8" t="n">
        <f aca="false">K951-L951</f>
        <v>117.5</v>
      </c>
      <c r="N951" s="2" t="s">
        <v>28</v>
      </c>
      <c r="O951" s="2" t="s">
        <v>62</v>
      </c>
    </row>
    <row r="952" customFormat="false" ht="15" hidden="false" customHeight="false" outlineLevel="0" collapsed="false">
      <c r="A952" s="2" t="s">
        <v>1006</v>
      </c>
      <c r="B952" s="3" t="n">
        <v>46044</v>
      </c>
      <c r="C952" s="2" t="s">
        <v>59</v>
      </c>
      <c r="D952" s="2" t="s">
        <v>101</v>
      </c>
      <c r="E952" s="2" t="s">
        <v>49</v>
      </c>
      <c r="F952" s="4" t="str">
        <f aca="false">INDEX(Products!$B$2:$B$9,MATCH(E952,Products!$A$2:$A$9,0))</f>
        <v>Mounting Kit</v>
      </c>
      <c r="G952" s="4" t="str">
        <f aca="false">INDEX(Products!$C$2:$C$9,MATCH(E952,Products!$A$2:$A$9,0))</f>
        <v>Accessories</v>
      </c>
      <c r="H952" s="5" t="n">
        <v>3</v>
      </c>
      <c r="I952" s="6" t="n">
        <f aca="false">INDEX(Products!$D$2:$D$9,MATCH(E952,Products!$A$2:$A$9,0))</f>
        <v>39</v>
      </c>
      <c r="J952" s="7" t="n">
        <v>0</v>
      </c>
      <c r="K952" s="8" t="n">
        <f aca="false">H952*I952*(1-J952)</f>
        <v>117</v>
      </c>
      <c r="L952" s="6" t="n">
        <f aca="false">H952*INDEX(Products!$E$2:$E$9,MATCH(E952,Products!$A$2:$A$9,0))</f>
        <v>94.5</v>
      </c>
      <c r="M952" s="8" t="n">
        <f aca="false">K952-L952</f>
        <v>22.5</v>
      </c>
      <c r="N952" s="2" t="s">
        <v>28</v>
      </c>
      <c r="O952" s="2" t="s">
        <v>62</v>
      </c>
    </row>
    <row r="953" customFormat="false" ht="15" hidden="false" customHeight="false" outlineLevel="0" collapsed="false">
      <c r="A953" s="2" t="s">
        <v>1007</v>
      </c>
      <c r="B953" s="3" t="n">
        <v>46045</v>
      </c>
      <c r="C953" s="2" t="s">
        <v>41</v>
      </c>
      <c r="D953" s="2" t="s">
        <v>42</v>
      </c>
      <c r="E953" s="2" t="s">
        <v>18</v>
      </c>
      <c r="F953" s="4" t="str">
        <f aca="false">INDEX(Products!$B$2:$B$9,MATCH(E953,Products!$A$2:$A$9,0))</f>
        <v>Sensor Hub Pro</v>
      </c>
      <c r="G953" s="4" t="str">
        <f aca="false">INDEX(Products!$C$2:$C$9,MATCH(E953,Products!$A$2:$A$9,0))</f>
        <v>Hardware</v>
      </c>
      <c r="H953" s="5" t="n">
        <v>12</v>
      </c>
      <c r="I953" s="6" t="n">
        <f aca="false">INDEX(Products!$D$2:$D$9,MATCH(E953,Products!$A$2:$A$9,0))</f>
        <v>349</v>
      </c>
      <c r="J953" s="7" t="n">
        <v>0.25</v>
      </c>
      <c r="K953" s="8" t="n">
        <f aca="false">H953*I953*(1-J953)</f>
        <v>3141</v>
      </c>
      <c r="L953" s="6" t="n">
        <f aca="false">H953*INDEX(Products!$E$2:$E$9,MATCH(E953,Products!$A$2:$A$9,0))</f>
        <v>2412</v>
      </c>
      <c r="M953" s="8" t="n">
        <f aca="false">K953-L953</f>
        <v>729</v>
      </c>
      <c r="N953" s="2" t="s">
        <v>19</v>
      </c>
      <c r="O953" s="2" t="s">
        <v>52</v>
      </c>
    </row>
    <row r="954" customFormat="false" ht="15" hidden="false" customHeight="false" outlineLevel="0" collapsed="false">
      <c r="A954" s="2" t="s">
        <v>1008</v>
      </c>
      <c r="B954" s="3" t="n">
        <v>46045</v>
      </c>
      <c r="C954" s="2" t="s">
        <v>16</v>
      </c>
      <c r="D954" s="2" t="s">
        <v>25</v>
      </c>
      <c r="E954" s="2" t="s">
        <v>23</v>
      </c>
      <c r="F954" s="4" t="str">
        <f aca="false">INDEX(Products!$B$2:$B$9,MATCH(E954,Products!$A$2:$A$9,0))</f>
        <v>Sensor Hub S</v>
      </c>
      <c r="G954" s="4" t="str">
        <f aca="false">INDEX(Products!$C$2:$C$9,MATCH(E954,Products!$A$2:$A$9,0))</f>
        <v>Hardware</v>
      </c>
      <c r="H954" s="5" t="n">
        <v>2</v>
      </c>
      <c r="I954" s="6" t="n">
        <f aca="false">INDEX(Products!$D$2:$D$9,MATCH(E954,Products!$A$2:$A$9,0))</f>
        <v>189</v>
      </c>
      <c r="J954" s="7" t="n">
        <v>0.05</v>
      </c>
      <c r="K954" s="8" t="n">
        <f aca="false">H954*I954*(1-J954)</f>
        <v>359.1</v>
      </c>
      <c r="L954" s="6" t="n">
        <f aca="false">H954*INDEX(Products!$E$2:$E$9,MATCH(E954,Products!$A$2:$A$9,0))</f>
        <v>196</v>
      </c>
      <c r="M954" s="8" t="n">
        <f aca="false">K954-L954</f>
        <v>163.1</v>
      </c>
      <c r="N954" s="2" t="s">
        <v>38</v>
      </c>
      <c r="O954" s="2" t="s">
        <v>20</v>
      </c>
    </row>
    <row r="955" customFormat="false" ht="15" hidden="false" customHeight="false" outlineLevel="0" collapsed="false">
      <c r="A955" s="2" t="s">
        <v>1009</v>
      </c>
      <c r="B955" s="3" t="n">
        <v>46045</v>
      </c>
      <c r="C955" s="2" t="s">
        <v>30</v>
      </c>
      <c r="D955" s="2" t="s">
        <v>77</v>
      </c>
      <c r="E955" s="2" t="s">
        <v>23</v>
      </c>
      <c r="F955" s="4" t="str">
        <f aca="false">INDEX(Products!$B$2:$B$9,MATCH(E955,Products!$A$2:$A$9,0))</f>
        <v>Sensor Hub S</v>
      </c>
      <c r="G955" s="4" t="str">
        <f aca="false">INDEX(Products!$C$2:$C$9,MATCH(E955,Products!$A$2:$A$9,0))</f>
        <v>Hardware</v>
      </c>
      <c r="H955" s="5" t="n">
        <v>10</v>
      </c>
      <c r="I955" s="6" t="n">
        <f aca="false">INDEX(Products!$D$2:$D$9,MATCH(E955,Products!$A$2:$A$9,0))</f>
        <v>189</v>
      </c>
      <c r="J955" s="7" t="n">
        <v>0</v>
      </c>
      <c r="K955" s="8" t="n">
        <f aca="false">H955*I955*(1-J955)</f>
        <v>1890</v>
      </c>
      <c r="L955" s="6" t="n">
        <f aca="false">H955*INDEX(Products!$E$2:$E$9,MATCH(E955,Products!$A$2:$A$9,0))</f>
        <v>980</v>
      </c>
      <c r="M955" s="8" t="n">
        <f aca="false">K955-L955</f>
        <v>910</v>
      </c>
      <c r="N955" s="2" t="s">
        <v>28</v>
      </c>
      <c r="O955" s="2" t="s">
        <v>33</v>
      </c>
    </row>
    <row r="956" customFormat="false" ht="15" hidden="false" customHeight="false" outlineLevel="0" collapsed="false">
      <c r="A956" s="2" t="s">
        <v>1010</v>
      </c>
      <c r="B956" s="3" t="n">
        <v>46046</v>
      </c>
      <c r="C956" s="2" t="s">
        <v>30</v>
      </c>
      <c r="D956" s="2" t="s">
        <v>77</v>
      </c>
      <c r="E956" s="2" t="s">
        <v>23</v>
      </c>
      <c r="F956" s="4" t="str">
        <f aca="false">INDEX(Products!$B$2:$B$9,MATCH(E956,Products!$A$2:$A$9,0))</f>
        <v>Sensor Hub S</v>
      </c>
      <c r="G956" s="4" t="str">
        <f aca="false">INDEX(Products!$C$2:$C$9,MATCH(E956,Products!$A$2:$A$9,0))</f>
        <v>Hardware</v>
      </c>
      <c r="H956" s="5" t="n">
        <v>8</v>
      </c>
      <c r="I956" s="6" t="n">
        <f aca="false">INDEX(Products!$D$2:$D$9,MATCH(E956,Products!$A$2:$A$9,0))</f>
        <v>189</v>
      </c>
      <c r="J956" s="7" t="n">
        <v>0.25</v>
      </c>
      <c r="K956" s="8" t="n">
        <f aca="false">H956*I956*(1-J956)</f>
        <v>1134</v>
      </c>
      <c r="L956" s="6" t="n">
        <f aca="false">H956*INDEX(Products!$E$2:$E$9,MATCH(E956,Products!$A$2:$A$9,0))</f>
        <v>784</v>
      </c>
      <c r="M956" s="8" t="n">
        <f aca="false">K956-L956</f>
        <v>350</v>
      </c>
      <c r="N956" s="2" t="s">
        <v>19</v>
      </c>
      <c r="O956" s="2" t="s">
        <v>64</v>
      </c>
    </row>
    <row r="957" customFormat="false" ht="15" hidden="false" customHeight="false" outlineLevel="0" collapsed="false">
      <c r="A957" s="2" t="s">
        <v>1011</v>
      </c>
      <c r="B957" s="3" t="n">
        <v>46048</v>
      </c>
      <c r="C957" s="2" t="s">
        <v>41</v>
      </c>
      <c r="D957" s="2" t="s">
        <v>42</v>
      </c>
      <c r="E957" s="2" t="s">
        <v>61</v>
      </c>
      <c r="F957" s="4" t="str">
        <f aca="false">INDEX(Products!$B$2:$B$9,MATCH(E957,Products!$A$2:$A$9,0))</f>
        <v>Install Service</v>
      </c>
      <c r="G957" s="4" t="str">
        <f aca="false">INDEX(Products!$C$2:$C$9,MATCH(E957,Products!$A$2:$A$9,0))</f>
        <v>Services</v>
      </c>
      <c r="H957" s="5" t="n">
        <v>1</v>
      </c>
      <c r="I957" s="6" t="n">
        <f aca="false">INDEX(Products!$D$2:$D$9,MATCH(E957,Products!$A$2:$A$9,0))</f>
        <v>450</v>
      </c>
      <c r="J957" s="7" t="n">
        <v>0.25</v>
      </c>
      <c r="K957" s="8" t="n">
        <f aca="false">H957*I957*(1-J957)</f>
        <v>337.5</v>
      </c>
      <c r="L957" s="6" t="n">
        <f aca="false">H957*INDEX(Products!$E$2:$E$9,MATCH(E957,Products!$A$2:$A$9,0))</f>
        <v>310</v>
      </c>
      <c r="M957" s="8" t="n">
        <f aca="false">K957-L957</f>
        <v>27.5</v>
      </c>
      <c r="N957" s="2" t="s">
        <v>19</v>
      </c>
      <c r="O957" s="2" t="s">
        <v>52</v>
      </c>
    </row>
    <row r="958" customFormat="false" ht="15" hidden="false" customHeight="false" outlineLevel="0" collapsed="false">
      <c r="A958" s="2" t="s">
        <v>1012</v>
      </c>
      <c r="B958" s="3" t="n">
        <v>46048</v>
      </c>
      <c r="C958" s="2" t="s">
        <v>47</v>
      </c>
      <c r="D958" s="2" t="s">
        <v>55</v>
      </c>
      <c r="E958" s="2" t="s">
        <v>18</v>
      </c>
      <c r="F958" s="4" t="str">
        <f aca="false">INDEX(Products!$B$2:$B$9,MATCH(E958,Products!$A$2:$A$9,0))</f>
        <v>Sensor Hub Pro</v>
      </c>
      <c r="G958" s="4" t="str">
        <f aca="false">INDEX(Products!$C$2:$C$9,MATCH(E958,Products!$A$2:$A$9,0))</f>
        <v>Hardware</v>
      </c>
      <c r="H958" s="5" t="n">
        <v>4</v>
      </c>
      <c r="I958" s="6" t="n">
        <f aca="false">INDEX(Products!$D$2:$D$9,MATCH(E958,Products!$A$2:$A$9,0))</f>
        <v>349</v>
      </c>
      <c r="J958" s="7" t="n">
        <v>0.1</v>
      </c>
      <c r="K958" s="8" t="n">
        <f aca="false">H958*I958*(1-J958)</f>
        <v>1256.4</v>
      </c>
      <c r="L958" s="6" t="n">
        <f aca="false">H958*INDEX(Products!$E$2:$E$9,MATCH(E958,Products!$A$2:$A$9,0))</f>
        <v>804</v>
      </c>
      <c r="M958" s="8" t="n">
        <f aca="false">K958-L958</f>
        <v>452.4</v>
      </c>
      <c r="N958" s="2" t="s">
        <v>38</v>
      </c>
      <c r="O958" s="2" t="s">
        <v>72</v>
      </c>
    </row>
    <row r="959" customFormat="false" ht="15" hidden="false" customHeight="false" outlineLevel="0" collapsed="false">
      <c r="A959" s="2" t="s">
        <v>1013</v>
      </c>
      <c r="B959" s="3" t="n">
        <v>46048</v>
      </c>
      <c r="C959" s="2" t="s">
        <v>30</v>
      </c>
      <c r="D959" s="2" t="s">
        <v>77</v>
      </c>
      <c r="E959" s="2" t="s">
        <v>57</v>
      </c>
      <c r="F959" s="4" t="str">
        <f aca="false">INDEX(Products!$B$2:$B$9,MATCH(E959,Products!$A$2:$A$9,0))</f>
        <v>Edge Gateway</v>
      </c>
      <c r="G959" s="4" t="str">
        <f aca="false">INDEX(Products!$C$2:$C$9,MATCH(E959,Products!$A$2:$A$9,0))</f>
        <v>Hardware</v>
      </c>
      <c r="H959" s="5" t="n">
        <v>5</v>
      </c>
      <c r="I959" s="6" t="n">
        <f aca="false">INDEX(Products!$D$2:$D$9,MATCH(E959,Products!$A$2:$A$9,0))</f>
        <v>899</v>
      </c>
      <c r="J959" s="7" t="n">
        <v>0.25</v>
      </c>
      <c r="K959" s="8" t="n">
        <f aca="false">H959*I959*(1-J959)</f>
        <v>3371.25</v>
      </c>
      <c r="L959" s="6" t="n">
        <f aca="false">H959*INDEX(Products!$E$2:$E$9,MATCH(E959,Products!$A$2:$A$9,0))</f>
        <v>3060</v>
      </c>
      <c r="M959" s="8" t="n">
        <f aca="false">K959-L959</f>
        <v>311.25</v>
      </c>
      <c r="N959" s="2" t="s">
        <v>38</v>
      </c>
      <c r="O959" s="2" t="s">
        <v>64</v>
      </c>
    </row>
    <row r="960" customFormat="false" ht="15" hidden="false" customHeight="false" outlineLevel="0" collapsed="false">
      <c r="A960" s="2" t="s">
        <v>1014</v>
      </c>
      <c r="B960" s="3" t="n">
        <v>46049</v>
      </c>
      <c r="C960" s="2" t="s">
        <v>59</v>
      </c>
      <c r="D960" s="2" t="s">
        <v>91</v>
      </c>
      <c r="E960" s="2" t="s">
        <v>61</v>
      </c>
      <c r="F960" s="4" t="str">
        <f aca="false">INDEX(Products!$B$2:$B$9,MATCH(E960,Products!$A$2:$A$9,0))</f>
        <v>Install Service</v>
      </c>
      <c r="G960" s="4" t="str">
        <f aca="false">INDEX(Products!$C$2:$C$9,MATCH(E960,Products!$A$2:$A$9,0))</f>
        <v>Services</v>
      </c>
      <c r="H960" s="5" t="n">
        <v>1</v>
      </c>
      <c r="I960" s="6" t="n">
        <f aca="false">INDEX(Products!$D$2:$D$9,MATCH(E960,Products!$A$2:$A$9,0))</f>
        <v>450</v>
      </c>
      <c r="J960" s="7" t="n">
        <v>0</v>
      </c>
      <c r="K960" s="8" t="n">
        <f aca="false">H960*I960*(1-J960)</f>
        <v>450</v>
      </c>
      <c r="L960" s="6" t="n">
        <f aca="false">H960*INDEX(Products!$E$2:$E$9,MATCH(E960,Products!$A$2:$A$9,0))</f>
        <v>310</v>
      </c>
      <c r="M960" s="8" t="n">
        <f aca="false">K960-L960</f>
        <v>140</v>
      </c>
      <c r="N960" s="2" t="s">
        <v>28</v>
      </c>
      <c r="O960" s="2" t="s">
        <v>62</v>
      </c>
    </row>
    <row r="961" customFormat="false" ht="15" hidden="false" customHeight="false" outlineLevel="0" collapsed="false">
      <c r="A961" s="2" t="s">
        <v>1015</v>
      </c>
      <c r="B961" s="3" t="n">
        <v>46049</v>
      </c>
      <c r="C961" s="2" t="s">
        <v>30</v>
      </c>
      <c r="D961" s="2" t="s">
        <v>31</v>
      </c>
      <c r="E961" s="2" t="s">
        <v>61</v>
      </c>
      <c r="F961" s="4" t="str">
        <f aca="false">INDEX(Products!$B$2:$B$9,MATCH(E961,Products!$A$2:$A$9,0))</f>
        <v>Install Service</v>
      </c>
      <c r="G961" s="4" t="str">
        <f aca="false">INDEX(Products!$C$2:$C$9,MATCH(E961,Products!$A$2:$A$9,0))</f>
        <v>Services</v>
      </c>
      <c r="H961" s="5" t="n">
        <v>2</v>
      </c>
      <c r="I961" s="6" t="n">
        <f aca="false">INDEX(Products!$D$2:$D$9,MATCH(E961,Products!$A$2:$A$9,0))</f>
        <v>450</v>
      </c>
      <c r="J961" s="7" t="n">
        <v>0.1</v>
      </c>
      <c r="K961" s="8" t="n">
        <f aca="false">H961*I961*(1-J961)</f>
        <v>810</v>
      </c>
      <c r="L961" s="6" t="n">
        <f aca="false">H961*INDEX(Products!$E$2:$E$9,MATCH(E961,Products!$A$2:$A$9,0))</f>
        <v>620</v>
      </c>
      <c r="M961" s="8" t="n">
        <f aca="false">K961-L961</f>
        <v>190</v>
      </c>
      <c r="N961" s="2" t="s">
        <v>19</v>
      </c>
      <c r="O961" s="2" t="s">
        <v>33</v>
      </c>
    </row>
    <row r="962" customFormat="false" ht="15" hidden="false" customHeight="false" outlineLevel="0" collapsed="false">
      <c r="A962" s="2" t="s">
        <v>1016</v>
      </c>
      <c r="B962" s="3" t="n">
        <v>46049</v>
      </c>
      <c r="C962" s="2" t="s">
        <v>47</v>
      </c>
      <c r="D962" s="2" t="s">
        <v>55</v>
      </c>
      <c r="E962" s="2" t="s">
        <v>26</v>
      </c>
      <c r="F962" s="4" t="str">
        <f aca="false">INDEX(Products!$B$2:$B$9,MATCH(E962,Products!$A$2:$A$9,0))</f>
        <v>Analytics Basic</v>
      </c>
      <c r="G962" s="4" t="str">
        <f aca="false">INDEX(Products!$C$2:$C$9,MATCH(E962,Products!$A$2:$A$9,0))</f>
        <v>Software</v>
      </c>
      <c r="H962" s="5" t="n">
        <v>1</v>
      </c>
      <c r="I962" s="6" t="n">
        <f aca="false">INDEX(Products!$D$2:$D$9,MATCH(E962,Products!$A$2:$A$9,0))</f>
        <v>120</v>
      </c>
      <c r="J962" s="7" t="n">
        <v>0.25</v>
      </c>
      <c r="K962" s="8" t="n">
        <f aca="false">H962*I962*(1-J962)</f>
        <v>90</v>
      </c>
      <c r="L962" s="6" t="n">
        <f aca="false">H962*INDEX(Products!$E$2:$E$9,MATCH(E962,Products!$A$2:$A$9,0))</f>
        <v>18</v>
      </c>
      <c r="M962" s="8" t="n">
        <f aca="false">K962-L962</f>
        <v>72</v>
      </c>
      <c r="N962" s="2" t="s">
        <v>19</v>
      </c>
      <c r="O962" s="2" t="s">
        <v>72</v>
      </c>
    </row>
    <row r="963" customFormat="false" ht="15" hidden="false" customHeight="false" outlineLevel="0" collapsed="false">
      <c r="A963" s="2" t="s">
        <v>1017</v>
      </c>
      <c r="B963" s="3" t="n">
        <v>46050</v>
      </c>
      <c r="C963" s="2" t="s">
        <v>47</v>
      </c>
      <c r="D963" s="2" t="s">
        <v>55</v>
      </c>
      <c r="E963" s="2" t="s">
        <v>32</v>
      </c>
      <c r="F963" s="4" t="str">
        <f aca="false">INDEX(Products!$B$2:$B$9,MATCH(E963,Products!$A$2:$A$9,0))</f>
        <v>Analytics Plus</v>
      </c>
      <c r="G963" s="4" t="str">
        <f aca="false">INDEX(Products!$C$2:$C$9,MATCH(E963,Products!$A$2:$A$9,0))</f>
        <v>Software</v>
      </c>
      <c r="H963" s="5" t="n">
        <v>3</v>
      </c>
      <c r="I963" s="6" t="n">
        <f aca="false">INDEX(Products!$D$2:$D$9,MATCH(E963,Products!$A$2:$A$9,0))</f>
        <v>290</v>
      </c>
      <c r="J963" s="7" t="n">
        <v>0.15</v>
      </c>
      <c r="K963" s="8" t="n">
        <f aca="false">H963*I963*(1-J963)</f>
        <v>739.5</v>
      </c>
      <c r="L963" s="6" t="n">
        <f aca="false">H963*INDEX(Products!$E$2:$E$9,MATCH(E963,Products!$A$2:$A$9,0))</f>
        <v>123</v>
      </c>
      <c r="M963" s="8" t="n">
        <f aca="false">K963-L963</f>
        <v>616.5</v>
      </c>
      <c r="N963" s="2" t="s">
        <v>19</v>
      </c>
      <c r="O963" s="2" t="s">
        <v>72</v>
      </c>
    </row>
    <row r="964" customFormat="false" ht="15" hidden="false" customHeight="false" outlineLevel="0" collapsed="false">
      <c r="A964" s="2" t="s">
        <v>1018</v>
      </c>
      <c r="B964" s="3" t="n">
        <v>46050</v>
      </c>
      <c r="C964" s="2" t="s">
        <v>41</v>
      </c>
      <c r="D964" s="2" t="s">
        <v>42</v>
      </c>
      <c r="E964" s="2" t="s">
        <v>23</v>
      </c>
      <c r="F964" s="4" t="str">
        <f aca="false">INDEX(Products!$B$2:$B$9,MATCH(E964,Products!$A$2:$A$9,0))</f>
        <v>Sensor Hub S</v>
      </c>
      <c r="G964" s="4" t="str">
        <f aca="false">INDEX(Products!$C$2:$C$9,MATCH(E964,Products!$A$2:$A$9,0))</f>
        <v>Hardware</v>
      </c>
      <c r="H964" s="5" t="n">
        <v>8</v>
      </c>
      <c r="I964" s="6" t="n">
        <f aca="false">INDEX(Products!$D$2:$D$9,MATCH(E964,Products!$A$2:$A$9,0))</f>
        <v>189</v>
      </c>
      <c r="J964" s="7" t="n">
        <v>0.1</v>
      </c>
      <c r="K964" s="8" t="n">
        <f aca="false">H964*I964*(1-J964)</f>
        <v>1360.8</v>
      </c>
      <c r="L964" s="6" t="n">
        <f aca="false">H964*INDEX(Products!$E$2:$E$9,MATCH(E964,Products!$A$2:$A$9,0))</f>
        <v>784</v>
      </c>
      <c r="M964" s="8" t="n">
        <f aca="false">K964-L964</f>
        <v>576.8</v>
      </c>
      <c r="N964" s="2" t="s">
        <v>19</v>
      </c>
      <c r="O964" s="2" t="s">
        <v>52</v>
      </c>
    </row>
    <row r="965" customFormat="false" ht="15" hidden="false" customHeight="false" outlineLevel="0" collapsed="false">
      <c r="A965" s="2" t="s">
        <v>1019</v>
      </c>
      <c r="B965" s="3" t="n">
        <v>46050</v>
      </c>
      <c r="C965" s="2" t="s">
        <v>16</v>
      </c>
      <c r="D965" s="2" t="s">
        <v>22</v>
      </c>
      <c r="E965" s="2" t="s">
        <v>18</v>
      </c>
      <c r="F965" s="4" t="str">
        <f aca="false">INDEX(Products!$B$2:$B$9,MATCH(E965,Products!$A$2:$A$9,0))</f>
        <v>Sensor Hub Pro</v>
      </c>
      <c r="G965" s="4" t="str">
        <f aca="false">INDEX(Products!$C$2:$C$9,MATCH(E965,Products!$A$2:$A$9,0))</f>
        <v>Hardware</v>
      </c>
      <c r="H965" s="5" t="n">
        <v>12</v>
      </c>
      <c r="I965" s="6" t="n">
        <f aca="false">INDEX(Products!$D$2:$D$9,MATCH(E965,Products!$A$2:$A$9,0))</f>
        <v>349</v>
      </c>
      <c r="J965" s="7" t="n">
        <v>0</v>
      </c>
      <c r="K965" s="8" t="n">
        <f aca="false">H965*I965*(1-J965)</f>
        <v>4188</v>
      </c>
      <c r="L965" s="6" t="n">
        <f aca="false">H965*INDEX(Products!$E$2:$E$9,MATCH(E965,Products!$A$2:$A$9,0))</f>
        <v>2412</v>
      </c>
      <c r="M965" s="8" t="n">
        <f aca="false">K965-L965</f>
        <v>1776</v>
      </c>
      <c r="N965" s="2" t="s">
        <v>28</v>
      </c>
      <c r="O965" s="2" t="s">
        <v>36</v>
      </c>
    </row>
    <row r="966" customFormat="false" ht="15" hidden="false" customHeight="false" outlineLevel="0" collapsed="false">
      <c r="A966" s="2" t="s">
        <v>1020</v>
      </c>
      <c r="B966" s="3" t="n">
        <v>46051</v>
      </c>
      <c r="C966" s="2" t="s">
        <v>30</v>
      </c>
      <c r="D966" s="2" t="s">
        <v>128</v>
      </c>
      <c r="E966" s="2" t="s">
        <v>32</v>
      </c>
      <c r="F966" s="4" t="str">
        <f aca="false">INDEX(Products!$B$2:$B$9,MATCH(E966,Products!$A$2:$A$9,0))</f>
        <v>Analytics Plus</v>
      </c>
      <c r="G966" s="4" t="str">
        <f aca="false">INDEX(Products!$C$2:$C$9,MATCH(E966,Products!$A$2:$A$9,0))</f>
        <v>Software</v>
      </c>
      <c r="H966" s="5" t="n">
        <v>1</v>
      </c>
      <c r="I966" s="6" t="n">
        <f aca="false">INDEX(Products!$D$2:$D$9,MATCH(E966,Products!$A$2:$A$9,0))</f>
        <v>290</v>
      </c>
      <c r="J966" s="7" t="n">
        <v>0.15</v>
      </c>
      <c r="K966" s="8" t="n">
        <f aca="false">H966*I966*(1-J966)</f>
        <v>246.5</v>
      </c>
      <c r="L966" s="6" t="n">
        <f aca="false">H966*INDEX(Products!$E$2:$E$9,MATCH(E966,Products!$A$2:$A$9,0))</f>
        <v>41</v>
      </c>
      <c r="M966" s="8" t="n">
        <f aca="false">K966-L966</f>
        <v>205.5</v>
      </c>
      <c r="N966" s="2" t="s">
        <v>28</v>
      </c>
      <c r="O966" s="2" t="s">
        <v>64</v>
      </c>
    </row>
    <row r="967" customFormat="false" ht="15" hidden="false" customHeight="false" outlineLevel="0" collapsed="false">
      <c r="A967" s="2" t="s">
        <v>1021</v>
      </c>
      <c r="B967" s="3" t="n">
        <v>46051</v>
      </c>
      <c r="C967" s="2" t="s">
        <v>16</v>
      </c>
      <c r="D967" s="2" t="s">
        <v>17</v>
      </c>
      <c r="E967" s="2" t="s">
        <v>32</v>
      </c>
      <c r="F967" s="4" t="str">
        <f aca="false">INDEX(Products!$B$2:$B$9,MATCH(E967,Products!$A$2:$A$9,0))</f>
        <v>Analytics Plus</v>
      </c>
      <c r="G967" s="4" t="str">
        <f aca="false">INDEX(Products!$C$2:$C$9,MATCH(E967,Products!$A$2:$A$9,0))</f>
        <v>Software</v>
      </c>
      <c r="H967" s="5" t="n">
        <v>1</v>
      </c>
      <c r="I967" s="6" t="n">
        <f aca="false">INDEX(Products!$D$2:$D$9,MATCH(E967,Products!$A$2:$A$9,0))</f>
        <v>290</v>
      </c>
      <c r="J967" s="7" t="n">
        <v>0.1</v>
      </c>
      <c r="K967" s="8" t="n">
        <f aca="false">H967*I967*(1-J967)</f>
        <v>261</v>
      </c>
      <c r="L967" s="6" t="n">
        <f aca="false">H967*INDEX(Products!$E$2:$E$9,MATCH(E967,Products!$A$2:$A$9,0))</f>
        <v>41</v>
      </c>
      <c r="M967" s="8" t="n">
        <f aca="false">K967-L967</f>
        <v>220</v>
      </c>
      <c r="N967" s="2" t="s">
        <v>19</v>
      </c>
      <c r="O967" s="2" t="s">
        <v>20</v>
      </c>
    </row>
    <row r="968" customFormat="false" ht="15" hidden="false" customHeight="false" outlineLevel="0" collapsed="false">
      <c r="A968" s="2" t="s">
        <v>1022</v>
      </c>
      <c r="B968" s="3" t="n">
        <v>46052</v>
      </c>
      <c r="C968" s="2" t="s">
        <v>47</v>
      </c>
      <c r="D968" s="2" t="s">
        <v>48</v>
      </c>
      <c r="E968" s="2" t="s">
        <v>68</v>
      </c>
      <c r="F968" s="4" t="str">
        <f aca="false">INDEX(Products!$B$2:$B$9,MATCH(E968,Products!$A$2:$A$9,0))</f>
        <v>Premium Support</v>
      </c>
      <c r="G968" s="4" t="str">
        <f aca="false">INDEX(Products!$C$2:$C$9,MATCH(E968,Products!$A$2:$A$9,0))</f>
        <v>Services</v>
      </c>
      <c r="H968" s="5" t="n">
        <v>3</v>
      </c>
      <c r="I968" s="6" t="n">
        <f aca="false">INDEX(Products!$D$2:$D$9,MATCH(E968,Products!$A$2:$A$9,0))</f>
        <v>600</v>
      </c>
      <c r="J968" s="7" t="n">
        <v>0</v>
      </c>
      <c r="K968" s="8" t="n">
        <f aca="false">H968*I968*(1-J968)</f>
        <v>1800</v>
      </c>
      <c r="L968" s="6" t="n">
        <f aca="false">H968*INDEX(Products!$E$2:$E$9,MATCH(E968,Products!$A$2:$A$9,0))</f>
        <v>1185</v>
      </c>
      <c r="M968" s="8" t="n">
        <f aca="false">K968-L968</f>
        <v>615</v>
      </c>
      <c r="N968" s="2" t="s">
        <v>28</v>
      </c>
      <c r="O968" s="2" t="s">
        <v>72</v>
      </c>
    </row>
    <row r="969" customFormat="false" ht="15" hidden="false" customHeight="false" outlineLevel="0" collapsed="false">
      <c r="A969" s="2" t="s">
        <v>1023</v>
      </c>
      <c r="B969" s="3" t="n">
        <v>46052</v>
      </c>
      <c r="C969" s="2" t="s">
        <v>59</v>
      </c>
      <c r="D969" s="2" t="s">
        <v>91</v>
      </c>
      <c r="E969" s="2" t="s">
        <v>23</v>
      </c>
      <c r="F969" s="4" t="str">
        <f aca="false">INDEX(Products!$B$2:$B$9,MATCH(E969,Products!$A$2:$A$9,0))</f>
        <v>Sensor Hub S</v>
      </c>
      <c r="G969" s="4" t="str">
        <f aca="false">INDEX(Products!$C$2:$C$9,MATCH(E969,Products!$A$2:$A$9,0))</f>
        <v>Hardware</v>
      </c>
      <c r="H969" s="5" t="n">
        <v>2</v>
      </c>
      <c r="I969" s="6" t="n">
        <f aca="false">INDEX(Products!$D$2:$D$9,MATCH(E969,Products!$A$2:$A$9,0))</f>
        <v>189</v>
      </c>
      <c r="J969" s="7" t="n">
        <v>0.05</v>
      </c>
      <c r="K969" s="8" t="n">
        <f aca="false">H969*I969*(1-J969)</f>
        <v>359.1</v>
      </c>
      <c r="L969" s="6" t="n">
        <f aca="false">H969*INDEX(Products!$E$2:$E$9,MATCH(E969,Products!$A$2:$A$9,0))</f>
        <v>196</v>
      </c>
      <c r="M969" s="8" t="n">
        <f aca="false">K969-L969</f>
        <v>163.1</v>
      </c>
      <c r="N969" s="2" t="s">
        <v>28</v>
      </c>
      <c r="O969" s="2" t="s">
        <v>62</v>
      </c>
    </row>
    <row r="970" customFormat="false" ht="15" hidden="false" customHeight="false" outlineLevel="0" collapsed="false">
      <c r="A970" s="2" t="s">
        <v>1024</v>
      </c>
      <c r="B970" s="3" t="n">
        <v>46053</v>
      </c>
      <c r="C970" s="2" t="s">
        <v>59</v>
      </c>
      <c r="D970" s="2" t="s">
        <v>60</v>
      </c>
      <c r="E970" s="2" t="s">
        <v>23</v>
      </c>
      <c r="F970" s="4" t="str">
        <f aca="false">INDEX(Products!$B$2:$B$9,MATCH(E970,Products!$A$2:$A$9,0))</f>
        <v>Sensor Hub S</v>
      </c>
      <c r="G970" s="4" t="str">
        <f aca="false">INDEX(Products!$C$2:$C$9,MATCH(E970,Products!$A$2:$A$9,0))</f>
        <v>Hardware</v>
      </c>
      <c r="H970" s="5" t="n">
        <v>12</v>
      </c>
      <c r="I970" s="6" t="n">
        <f aca="false">INDEX(Products!$D$2:$D$9,MATCH(E970,Products!$A$2:$A$9,0))</f>
        <v>189</v>
      </c>
      <c r="J970" s="7" t="n">
        <v>0.1</v>
      </c>
      <c r="K970" s="8" t="n">
        <f aca="false">H970*I970*(1-J970)</f>
        <v>2041.2</v>
      </c>
      <c r="L970" s="6" t="n">
        <f aca="false">H970*INDEX(Products!$E$2:$E$9,MATCH(E970,Products!$A$2:$A$9,0))</f>
        <v>1176</v>
      </c>
      <c r="M970" s="8" t="n">
        <f aca="false">K970-L970</f>
        <v>865.2</v>
      </c>
      <c r="N970" s="2" t="s">
        <v>28</v>
      </c>
      <c r="O970" s="2" t="s">
        <v>62</v>
      </c>
    </row>
    <row r="971" customFormat="false" ht="15" hidden="false" customHeight="false" outlineLevel="0" collapsed="false">
      <c r="A971" s="2" t="s">
        <v>1025</v>
      </c>
      <c r="B971" s="3" t="n">
        <v>46055</v>
      </c>
      <c r="C971" s="2" t="s">
        <v>47</v>
      </c>
      <c r="D971" s="2" t="s">
        <v>157</v>
      </c>
      <c r="E971" s="2" t="s">
        <v>18</v>
      </c>
      <c r="F971" s="4" t="str">
        <f aca="false">INDEX(Products!$B$2:$B$9,MATCH(E971,Products!$A$2:$A$9,0))</f>
        <v>Sensor Hub Pro</v>
      </c>
      <c r="G971" s="4" t="str">
        <f aca="false">INDEX(Products!$C$2:$C$9,MATCH(E971,Products!$A$2:$A$9,0))</f>
        <v>Hardware</v>
      </c>
      <c r="H971" s="5" t="n">
        <v>2</v>
      </c>
      <c r="I971" s="6" t="n">
        <f aca="false">INDEX(Products!$D$2:$D$9,MATCH(E971,Products!$A$2:$A$9,0))</f>
        <v>349</v>
      </c>
      <c r="J971" s="7" t="n">
        <v>0.15</v>
      </c>
      <c r="K971" s="8" t="n">
        <f aca="false">H971*I971*(1-J971)</f>
        <v>593.3</v>
      </c>
      <c r="L971" s="6" t="n">
        <f aca="false">H971*INDEX(Products!$E$2:$E$9,MATCH(E971,Products!$A$2:$A$9,0))</f>
        <v>402</v>
      </c>
      <c r="M971" s="8" t="n">
        <f aca="false">K971-L971</f>
        <v>191.3</v>
      </c>
      <c r="N971" s="2" t="s">
        <v>28</v>
      </c>
      <c r="O971" s="2" t="s">
        <v>50</v>
      </c>
    </row>
    <row r="972" customFormat="false" ht="15" hidden="false" customHeight="false" outlineLevel="0" collapsed="false">
      <c r="A972" s="2" t="s">
        <v>1026</v>
      </c>
      <c r="B972" s="3" t="n">
        <v>46056</v>
      </c>
      <c r="C972" s="2" t="s">
        <v>47</v>
      </c>
      <c r="D972" s="2" t="s">
        <v>48</v>
      </c>
      <c r="E972" s="2" t="s">
        <v>18</v>
      </c>
      <c r="F972" s="4" t="str">
        <f aca="false">INDEX(Products!$B$2:$B$9,MATCH(E972,Products!$A$2:$A$9,0))</f>
        <v>Sensor Hub Pro</v>
      </c>
      <c r="G972" s="4" t="str">
        <f aca="false">INDEX(Products!$C$2:$C$9,MATCH(E972,Products!$A$2:$A$9,0))</f>
        <v>Hardware</v>
      </c>
      <c r="H972" s="5" t="n">
        <v>2</v>
      </c>
      <c r="I972" s="6" t="n">
        <f aca="false">INDEX(Products!$D$2:$D$9,MATCH(E972,Products!$A$2:$A$9,0))</f>
        <v>349</v>
      </c>
      <c r="J972" s="7" t="n">
        <v>0</v>
      </c>
      <c r="K972" s="8" t="n">
        <f aca="false">H972*I972*(1-J972)</f>
        <v>698</v>
      </c>
      <c r="L972" s="6" t="n">
        <f aca="false">H972*INDEX(Products!$E$2:$E$9,MATCH(E972,Products!$A$2:$A$9,0))</f>
        <v>402</v>
      </c>
      <c r="M972" s="8" t="n">
        <f aca="false">K972-L972</f>
        <v>296</v>
      </c>
      <c r="N972" s="2" t="s">
        <v>38</v>
      </c>
      <c r="O972" s="2" t="s">
        <v>50</v>
      </c>
    </row>
    <row r="973" customFormat="false" ht="15" hidden="false" customHeight="false" outlineLevel="0" collapsed="false">
      <c r="A973" s="2" t="s">
        <v>1027</v>
      </c>
      <c r="B973" s="3" t="n">
        <v>46056</v>
      </c>
      <c r="C973" s="2" t="s">
        <v>16</v>
      </c>
      <c r="D973" s="2" t="s">
        <v>22</v>
      </c>
      <c r="E973" s="2" t="s">
        <v>61</v>
      </c>
      <c r="F973" s="4" t="str">
        <f aca="false">INDEX(Products!$B$2:$B$9,MATCH(E973,Products!$A$2:$A$9,0))</f>
        <v>Install Service</v>
      </c>
      <c r="G973" s="4" t="str">
        <f aca="false">INDEX(Products!$C$2:$C$9,MATCH(E973,Products!$A$2:$A$9,0))</f>
        <v>Services</v>
      </c>
      <c r="H973" s="5" t="n">
        <v>1</v>
      </c>
      <c r="I973" s="6" t="n">
        <f aca="false">INDEX(Products!$D$2:$D$9,MATCH(E973,Products!$A$2:$A$9,0))</f>
        <v>450</v>
      </c>
      <c r="J973" s="7" t="n">
        <v>0</v>
      </c>
      <c r="K973" s="8" t="n">
        <f aca="false">H973*I973*(1-J973)</f>
        <v>450</v>
      </c>
      <c r="L973" s="6" t="n">
        <f aca="false">H973*INDEX(Products!$E$2:$E$9,MATCH(E973,Products!$A$2:$A$9,0))</f>
        <v>310</v>
      </c>
      <c r="M973" s="8" t="n">
        <f aca="false">K973-L973</f>
        <v>140</v>
      </c>
      <c r="N973" s="2" t="s">
        <v>28</v>
      </c>
      <c r="O973" s="2" t="s">
        <v>20</v>
      </c>
    </row>
    <row r="974" customFormat="false" ht="15" hidden="false" customHeight="false" outlineLevel="0" collapsed="false">
      <c r="A974" s="2" t="s">
        <v>1028</v>
      </c>
      <c r="B974" s="3" t="n">
        <v>46056</v>
      </c>
      <c r="C974" s="2" t="s">
        <v>30</v>
      </c>
      <c r="D974" s="2" t="s">
        <v>31</v>
      </c>
      <c r="E974" s="2" t="s">
        <v>57</v>
      </c>
      <c r="F974" s="4" t="str">
        <f aca="false">INDEX(Products!$B$2:$B$9,MATCH(E974,Products!$A$2:$A$9,0))</f>
        <v>Edge Gateway</v>
      </c>
      <c r="G974" s="4" t="str">
        <f aca="false">INDEX(Products!$C$2:$C$9,MATCH(E974,Products!$A$2:$A$9,0))</f>
        <v>Hardware</v>
      </c>
      <c r="H974" s="5" t="n">
        <v>20</v>
      </c>
      <c r="I974" s="6" t="n">
        <f aca="false">INDEX(Products!$D$2:$D$9,MATCH(E974,Products!$A$2:$A$9,0))</f>
        <v>899</v>
      </c>
      <c r="J974" s="7" t="n">
        <v>0.25</v>
      </c>
      <c r="K974" s="8" t="n">
        <f aca="false">H974*I974*(1-J974)</f>
        <v>13485</v>
      </c>
      <c r="L974" s="6" t="n">
        <f aca="false">H974*INDEX(Products!$E$2:$E$9,MATCH(E974,Products!$A$2:$A$9,0))</f>
        <v>12240</v>
      </c>
      <c r="M974" s="8" t="n">
        <f aca="false">K974-L974</f>
        <v>1245</v>
      </c>
      <c r="N974" s="2" t="s">
        <v>19</v>
      </c>
      <c r="O974" s="2" t="s">
        <v>33</v>
      </c>
    </row>
    <row r="975" customFormat="false" ht="15" hidden="false" customHeight="false" outlineLevel="0" collapsed="false">
      <c r="A975" s="2" t="s">
        <v>1029</v>
      </c>
      <c r="B975" s="3" t="n">
        <v>46057</v>
      </c>
      <c r="C975" s="2" t="s">
        <v>16</v>
      </c>
      <c r="D975" s="2" t="s">
        <v>25</v>
      </c>
      <c r="E975" s="2" t="s">
        <v>18</v>
      </c>
      <c r="F975" s="4" t="str">
        <f aca="false">INDEX(Products!$B$2:$B$9,MATCH(E975,Products!$A$2:$A$9,0))</f>
        <v>Sensor Hub Pro</v>
      </c>
      <c r="G975" s="4" t="str">
        <f aca="false">INDEX(Products!$C$2:$C$9,MATCH(E975,Products!$A$2:$A$9,0))</f>
        <v>Hardware</v>
      </c>
      <c r="H975" s="5" t="n">
        <v>5</v>
      </c>
      <c r="I975" s="6" t="n">
        <f aca="false">INDEX(Products!$D$2:$D$9,MATCH(E975,Products!$A$2:$A$9,0))</f>
        <v>349</v>
      </c>
      <c r="J975" s="7" t="n">
        <v>0.2</v>
      </c>
      <c r="K975" s="8" t="n">
        <f aca="false">H975*I975*(1-J975)</f>
        <v>1396</v>
      </c>
      <c r="L975" s="6" t="n">
        <f aca="false">H975*INDEX(Products!$E$2:$E$9,MATCH(E975,Products!$A$2:$A$9,0))</f>
        <v>1005</v>
      </c>
      <c r="M975" s="8" t="n">
        <f aca="false">K975-L975</f>
        <v>391</v>
      </c>
      <c r="N975" s="2" t="s">
        <v>19</v>
      </c>
      <c r="O975" s="2" t="s">
        <v>20</v>
      </c>
    </row>
    <row r="976" customFormat="false" ht="15" hidden="false" customHeight="false" outlineLevel="0" collapsed="false">
      <c r="A976" s="2" t="s">
        <v>1030</v>
      </c>
      <c r="B976" s="3" t="n">
        <v>46057</v>
      </c>
      <c r="C976" s="2" t="s">
        <v>41</v>
      </c>
      <c r="D976" s="2" t="s">
        <v>66</v>
      </c>
      <c r="E976" s="2" t="s">
        <v>18</v>
      </c>
      <c r="F976" s="4" t="str">
        <f aca="false">INDEX(Products!$B$2:$B$9,MATCH(E976,Products!$A$2:$A$9,0))</f>
        <v>Sensor Hub Pro</v>
      </c>
      <c r="G976" s="4" t="str">
        <f aca="false">INDEX(Products!$C$2:$C$9,MATCH(E976,Products!$A$2:$A$9,0))</f>
        <v>Hardware</v>
      </c>
      <c r="H976" s="5" t="n">
        <v>1</v>
      </c>
      <c r="I976" s="6" t="n">
        <f aca="false">INDEX(Products!$D$2:$D$9,MATCH(E976,Products!$A$2:$A$9,0))</f>
        <v>349</v>
      </c>
      <c r="J976" s="7" t="n">
        <v>0.1</v>
      </c>
      <c r="K976" s="8" t="n">
        <f aca="false">H976*I976*(1-J976)</f>
        <v>314.1</v>
      </c>
      <c r="L976" s="6" t="n">
        <f aca="false">H976*INDEX(Products!$E$2:$E$9,MATCH(E976,Products!$A$2:$A$9,0))</f>
        <v>201</v>
      </c>
      <c r="M976" s="8" t="n">
        <f aca="false">K976-L976</f>
        <v>113.1</v>
      </c>
      <c r="N976" s="2" t="s">
        <v>19</v>
      </c>
      <c r="O976" s="2" t="s">
        <v>43</v>
      </c>
    </row>
    <row r="977" customFormat="false" ht="15" hidden="false" customHeight="false" outlineLevel="0" collapsed="false">
      <c r="A977" s="2" t="s">
        <v>1031</v>
      </c>
      <c r="B977" s="3" t="n">
        <v>46058</v>
      </c>
      <c r="C977" s="2" t="s">
        <v>41</v>
      </c>
      <c r="D977" s="2" t="s">
        <v>42</v>
      </c>
      <c r="E977" s="2" t="s">
        <v>32</v>
      </c>
      <c r="F977" s="4" t="str">
        <f aca="false">INDEX(Products!$B$2:$B$9,MATCH(E977,Products!$A$2:$A$9,0))</f>
        <v>Analytics Plus</v>
      </c>
      <c r="G977" s="4" t="str">
        <f aca="false">INDEX(Products!$C$2:$C$9,MATCH(E977,Products!$A$2:$A$9,0))</f>
        <v>Software</v>
      </c>
      <c r="H977" s="5" t="n">
        <v>3</v>
      </c>
      <c r="I977" s="6" t="n">
        <f aca="false">INDEX(Products!$D$2:$D$9,MATCH(E977,Products!$A$2:$A$9,0))</f>
        <v>290</v>
      </c>
      <c r="J977" s="7" t="n">
        <v>0.25</v>
      </c>
      <c r="K977" s="8" t="n">
        <f aca="false">H977*I977*(1-J977)</f>
        <v>652.5</v>
      </c>
      <c r="L977" s="6" t="n">
        <f aca="false">H977*INDEX(Products!$E$2:$E$9,MATCH(E977,Products!$A$2:$A$9,0))</f>
        <v>123</v>
      </c>
      <c r="M977" s="8" t="n">
        <f aca="false">K977-L977</f>
        <v>529.5</v>
      </c>
      <c r="N977" s="2" t="s">
        <v>19</v>
      </c>
      <c r="O977" s="2" t="s">
        <v>43</v>
      </c>
    </row>
    <row r="978" customFormat="false" ht="15" hidden="false" customHeight="false" outlineLevel="0" collapsed="false">
      <c r="A978" s="2" t="s">
        <v>1032</v>
      </c>
      <c r="B978" s="3" t="n">
        <v>46058</v>
      </c>
      <c r="C978" s="2" t="s">
        <v>16</v>
      </c>
      <c r="D978" s="2" t="s">
        <v>35</v>
      </c>
      <c r="E978" s="2" t="s">
        <v>32</v>
      </c>
      <c r="F978" s="4" t="str">
        <f aca="false">INDEX(Products!$B$2:$B$9,MATCH(E978,Products!$A$2:$A$9,0))</f>
        <v>Analytics Plus</v>
      </c>
      <c r="G978" s="4" t="str">
        <f aca="false">INDEX(Products!$C$2:$C$9,MATCH(E978,Products!$A$2:$A$9,0))</f>
        <v>Software</v>
      </c>
      <c r="H978" s="5" t="n">
        <v>1</v>
      </c>
      <c r="I978" s="6" t="n">
        <f aca="false">INDEX(Products!$D$2:$D$9,MATCH(E978,Products!$A$2:$A$9,0))</f>
        <v>290</v>
      </c>
      <c r="J978" s="7" t="n">
        <v>0.1</v>
      </c>
      <c r="K978" s="8" t="n">
        <f aca="false">H978*I978*(1-J978)</f>
        <v>261</v>
      </c>
      <c r="L978" s="6" t="n">
        <f aca="false">H978*INDEX(Products!$E$2:$E$9,MATCH(E978,Products!$A$2:$A$9,0))</f>
        <v>41</v>
      </c>
      <c r="M978" s="8" t="n">
        <f aca="false">K978-L978</f>
        <v>220</v>
      </c>
      <c r="N978" s="2" t="s">
        <v>38</v>
      </c>
      <c r="O978" s="2" t="s">
        <v>36</v>
      </c>
    </row>
    <row r="979" customFormat="false" ht="15" hidden="false" customHeight="false" outlineLevel="0" collapsed="false">
      <c r="A979" s="2" t="s">
        <v>1033</v>
      </c>
      <c r="B979" s="3" t="n">
        <v>46059</v>
      </c>
      <c r="C979" s="2" t="s">
        <v>59</v>
      </c>
      <c r="D979" s="2" t="s">
        <v>60</v>
      </c>
      <c r="E979" s="2" t="s">
        <v>26</v>
      </c>
      <c r="F979" s="4" t="str">
        <f aca="false">INDEX(Products!$B$2:$B$9,MATCH(E979,Products!$A$2:$A$9,0))</f>
        <v>Analytics Basic</v>
      </c>
      <c r="G979" s="4" t="str">
        <f aca="false">INDEX(Products!$C$2:$C$9,MATCH(E979,Products!$A$2:$A$9,0))</f>
        <v>Software</v>
      </c>
      <c r="H979" s="5" t="n">
        <v>3</v>
      </c>
      <c r="I979" s="6" t="n">
        <f aca="false">INDEX(Products!$D$2:$D$9,MATCH(E979,Products!$A$2:$A$9,0))</f>
        <v>120</v>
      </c>
      <c r="J979" s="7" t="n">
        <v>0</v>
      </c>
      <c r="K979" s="8" t="n">
        <f aca="false">H979*I979*(1-J979)</f>
        <v>360</v>
      </c>
      <c r="L979" s="6" t="n">
        <f aca="false">H979*INDEX(Products!$E$2:$E$9,MATCH(E979,Products!$A$2:$A$9,0))</f>
        <v>54</v>
      </c>
      <c r="M979" s="8" t="n">
        <f aca="false">K979-L979</f>
        <v>306</v>
      </c>
      <c r="N979" s="2" t="s">
        <v>28</v>
      </c>
      <c r="O979" s="2" t="s">
        <v>62</v>
      </c>
    </row>
    <row r="980" customFormat="false" ht="15" hidden="false" customHeight="false" outlineLevel="0" collapsed="false">
      <c r="A980" s="2" t="s">
        <v>1034</v>
      </c>
      <c r="B980" s="3" t="n">
        <v>46059</v>
      </c>
      <c r="C980" s="2" t="s">
        <v>59</v>
      </c>
      <c r="D980" s="2" t="s">
        <v>60</v>
      </c>
      <c r="E980" s="2" t="s">
        <v>68</v>
      </c>
      <c r="F980" s="4" t="str">
        <f aca="false">INDEX(Products!$B$2:$B$9,MATCH(E980,Products!$A$2:$A$9,0))</f>
        <v>Premium Support</v>
      </c>
      <c r="G980" s="4" t="str">
        <f aca="false">INDEX(Products!$C$2:$C$9,MATCH(E980,Products!$A$2:$A$9,0))</f>
        <v>Services</v>
      </c>
      <c r="H980" s="5" t="n">
        <v>1</v>
      </c>
      <c r="I980" s="6" t="n">
        <f aca="false">INDEX(Products!$D$2:$D$9,MATCH(E980,Products!$A$2:$A$9,0))</f>
        <v>600</v>
      </c>
      <c r="J980" s="7" t="n">
        <v>0.1</v>
      </c>
      <c r="K980" s="8" t="n">
        <f aca="false">H980*I980*(1-J980)</f>
        <v>540</v>
      </c>
      <c r="L980" s="6" t="n">
        <f aca="false">H980*INDEX(Products!$E$2:$E$9,MATCH(E980,Products!$A$2:$A$9,0))</f>
        <v>395</v>
      </c>
      <c r="M980" s="8" t="n">
        <f aca="false">K980-L980</f>
        <v>145</v>
      </c>
      <c r="N980" s="2" t="s">
        <v>28</v>
      </c>
      <c r="O980" s="2" t="s">
        <v>62</v>
      </c>
    </row>
    <row r="981" customFormat="false" ht="15" hidden="false" customHeight="false" outlineLevel="0" collapsed="false">
      <c r="A981" s="2" t="s">
        <v>1035</v>
      </c>
      <c r="B981" s="3" t="n">
        <v>46059</v>
      </c>
      <c r="C981" s="2" t="s">
        <v>16</v>
      </c>
      <c r="D981" s="2" t="s">
        <v>35</v>
      </c>
      <c r="E981" s="2" t="s">
        <v>23</v>
      </c>
      <c r="F981" s="4" t="str">
        <f aca="false">INDEX(Products!$B$2:$B$9,MATCH(E981,Products!$A$2:$A$9,0))</f>
        <v>Sensor Hub S</v>
      </c>
      <c r="G981" s="4" t="str">
        <f aca="false">INDEX(Products!$C$2:$C$9,MATCH(E981,Products!$A$2:$A$9,0))</f>
        <v>Hardware</v>
      </c>
      <c r="H981" s="5" t="n">
        <v>1</v>
      </c>
      <c r="I981" s="6" t="n">
        <f aca="false">INDEX(Products!$D$2:$D$9,MATCH(E981,Products!$A$2:$A$9,0))</f>
        <v>189</v>
      </c>
      <c r="J981" s="7" t="n">
        <v>0.05</v>
      </c>
      <c r="K981" s="8" t="n">
        <f aca="false">H981*I981*(1-J981)</f>
        <v>179.55</v>
      </c>
      <c r="L981" s="6" t="n">
        <f aca="false">H981*INDEX(Products!$E$2:$E$9,MATCH(E981,Products!$A$2:$A$9,0))</f>
        <v>98</v>
      </c>
      <c r="M981" s="8" t="n">
        <f aca="false">K981-L981</f>
        <v>81.55</v>
      </c>
      <c r="N981" s="2" t="s">
        <v>38</v>
      </c>
      <c r="O981" s="2" t="s">
        <v>20</v>
      </c>
    </row>
    <row r="982" customFormat="false" ht="15" hidden="false" customHeight="false" outlineLevel="0" collapsed="false">
      <c r="A982" s="2" t="s">
        <v>1036</v>
      </c>
      <c r="B982" s="3" t="n">
        <v>46062</v>
      </c>
      <c r="C982" s="2" t="s">
        <v>47</v>
      </c>
      <c r="D982" s="2" t="s">
        <v>48</v>
      </c>
      <c r="E982" s="2" t="s">
        <v>49</v>
      </c>
      <c r="F982" s="4" t="str">
        <f aca="false">INDEX(Products!$B$2:$B$9,MATCH(E982,Products!$A$2:$A$9,0))</f>
        <v>Mounting Kit</v>
      </c>
      <c r="G982" s="4" t="str">
        <f aca="false">INDEX(Products!$C$2:$C$9,MATCH(E982,Products!$A$2:$A$9,0))</f>
        <v>Accessories</v>
      </c>
      <c r="H982" s="5" t="n">
        <v>4</v>
      </c>
      <c r="I982" s="6" t="n">
        <f aca="false">INDEX(Products!$D$2:$D$9,MATCH(E982,Products!$A$2:$A$9,0))</f>
        <v>39</v>
      </c>
      <c r="J982" s="7" t="n">
        <v>0.15</v>
      </c>
      <c r="K982" s="8" t="n">
        <f aca="false">H982*I982*(1-J982)</f>
        <v>132.6</v>
      </c>
      <c r="L982" s="6" t="n">
        <f aca="false">H982*INDEX(Products!$E$2:$E$9,MATCH(E982,Products!$A$2:$A$9,0))</f>
        <v>126</v>
      </c>
      <c r="M982" s="8" t="n">
        <f aca="false">K982-L982</f>
        <v>6.59999999999999</v>
      </c>
      <c r="N982" s="2" t="s">
        <v>19</v>
      </c>
      <c r="O982" s="2" t="s">
        <v>50</v>
      </c>
    </row>
    <row r="983" customFormat="false" ht="15" hidden="false" customHeight="false" outlineLevel="0" collapsed="false">
      <c r="A983" s="2" t="s">
        <v>1037</v>
      </c>
      <c r="B983" s="3" t="n">
        <v>46062</v>
      </c>
      <c r="C983" s="2" t="s">
        <v>16</v>
      </c>
      <c r="D983" s="2" t="s">
        <v>35</v>
      </c>
      <c r="E983" s="2" t="s">
        <v>23</v>
      </c>
      <c r="F983" s="4" t="str">
        <f aca="false">INDEX(Products!$B$2:$B$9,MATCH(E983,Products!$A$2:$A$9,0))</f>
        <v>Sensor Hub S</v>
      </c>
      <c r="G983" s="4" t="str">
        <f aca="false">INDEX(Products!$C$2:$C$9,MATCH(E983,Products!$A$2:$A$9,0))</f>
        <v>Hardware</v>
      </c>
      <c r="H983" s="5" t="n">
        <v>2</v>
      </c>
      <c r="I983" s="6" t="n">
        <f aca="false">INDEX(Products!$D$2:$D$9,MATCH(E983,Products!$A$2:$A$9,0))</f>
        <v>189</v>
      </c>
      <c r="J983" s="7" t="n">
        <v>0.05</v>
      </c>
      <c r="K983" s="8" t="n">
        <f aca="false">H983*I983*(1-J983)</f>
        <v>359.1</v>
      </c>
      <c r="L983" s="6" t="n">
        <f aca="false">H983*INDEX(Products!$E$2:$E$9,MATCH(E983,Products!$A$2:$A$9,0))</f>
        <v>196</v>
      </c>
      <c r="M983" s="8" t="n">
        <f aca="false">K983-L983</f>
        <v>163.1</v>
      </c>
      <c r="N983" s="2" t="s">
        <v>28</v>
      </c>
      <c r="O983" s="2" t="s">
        <v>36</v>
      </c>
    </row>
    <row r="984" customFormat="false" ht="15" hidden="false" customHeight="false" outlineLevel="0" collapsed="false">
      <c r="A984" s="2" t="s">
        <v>1038</v>
      </c>
      <c r="B984" s="3" t="n">
        <v>46062</v>
      </c>
      <c r="C984" s="2" t="s">
        <v>41</v>
      </c>
      <c r="D984" s="2" t="s">
        <v>66</v>
      </c>
      <c r="E984" s="2" t="s">
        <v>26</v>
      </c>
      <c r="F984" s="4" t="str">
        <f aca="false">INDEX(Products!$B$2:$B$9,MATCH(E984,Products!$A$2:$A$9,0))</f>
        <v>Analytics Basic</v>
      </c>
      <c r="G984" s="4" t="str">
        <f aca="false">INDEX(Products!$C$2:$C$9,MATCH(E984,Products!$A$2:$A$9,0))</f>
        <v>Software</v>
      </c>
      <c r="H984" s="5" t="n">
        <v>2</v>
      </c>
      <c r="I984" s="6" t="n">
        <f aca="false">INDEX(Products!$D$2:$D$9,MATCH(E984,Products!$A$2:$A$9,0))</f>
        <v>120</v>
      </c>
      <c r="J984" s="7" t="n">
        <v>0</v>
      </c>
      <c r="K984" s="8" t="n">
        <f aca="false">H984*I984*(1-J984)</f>
        <v>240</v>
      </c>
      <c r="L984" s="6" t="n">
        <f aca="false">H984*INDEX(Products!$E$2:$E$9,MATCH(E984,Products!$A$2:$A$9,0))</f>
        <v>36</v>
      </c>
      <c r="M984" s="8" t="n">
        <f aca="false">K984-L984</f>
        <v>204</v>
      </c>
      <c r="N984" s="2" t="s">
        <v>28</v>
      </c>
      <c r="O984" s="2" t="s">
        <v>52</v>
      </c>
    </row>
    <row r="985" customFormat="false" ht="15" hidden="false" customHeight="false" outlineLevel="0" collapsed="false">
      <c r="A985" s="2" t="s">
        <v>1039</v>
      </c>
      <c r="B985" s="3" t="n">
        <v>46063</v>
      </c>
      <c r="C985" s="2" t="s">
        <v>47</v>
      </c>
      <c r="D985" s="2" t="s">
        <v>48</v>
      </c>
      <c r="E985" s="2" t="s">
        <v>68</v>
      </c>
      <c r="F985" s="4" t="str">
        <f aca="false">INDEX(Products!$B$2:$B$9,MATCH(E985,Products!$A$2:$A$9,0))</f>
        <v>Premium Support</v>
      </c>
      <c r="G985" s="4" t="str">
        <f aca="false">INDEX(Products!$C$2:$C$9,MATCH(E985,Products!$A$2:$A$9,0))</f>
        <v>Services</v>
      </c>
      <c r="H985" s="5" t="n">
        <v>1</v>
      </c>
      <c r="I985" s="6" t="n">
        <f aca="false">INDEX(Products!$D$2:$D$9,MATCH(E985,Products!$A$2:$A$9,0))</f>
        <v>600</v>
      </c>
      <c r="J985" s="7" t="n">
        <v>0</v>
      </c>
      <c r="K985" s="8" t="n">
        <f aca="false">H985*I985*(1-J985)</f>
        <v>600</v>
      </c>
      <c r="L985" s="6" t="n">
        <f aca="false">H985*INDEX(Products!$E$2:$E$9,MATCH(E985,Products!$A$2:$A$9,0))</f>
        <v>395</v>
      </c>
      <c r="M985" s="8" t="n">
        <f aca="false">K985-L985</f>
        <v>205</v>
      </c>
      <c r="N985" s="2" t="s">
        <v>28</v>
      </c>
      <c r="O985" s="2" t="s">
        <v>50</v>
      </c>
    </row>
    <row r="986" customFormat="false" ht="15" hidden="false" customHeight="false" outlineLevel="0" collapsed="false">
      <c r="A986" s="2" t="s">
        <v>1040</v>
      </c>
      <c r="B986" s="3" t="n">
        <v>46063</v>
      </c>
      <c r="C986" s="2" t="s">
        <v>16</v>
      </c>
      <c r="D986" s="2" t="s">
        <v>22</v>
      </c>
      <c r="E986" s="2" t="s">
        <v>23</v>
      </c>
      <c r="F986" s="4" t="str">
        <f aca="false">INDEX(Products!$B$2:$B$9,MATCH(E986,Products!$A$2:$A$9,0))</f>
        <v>Sensor Hub S</v>
      </c>
      <c r="G986" s="4" t="str">
        <f aca="false">INDEX(Products!$C$2:$C$9,MATCH(E986,Products!$A$2:$A$9,0))</f>
        <v>Hardware</v>
      </c>
      <c r="H986" s="5" t="n">
        <v>10</v>
      </c>
      <c r="I986" s="6" t="n">
        <f aca="false">INDEX(Products!$D$2:$D$9,MATCH(E986,Products!$A$2:$A$9,0))</f>
        <v>189</v>
      </c>
      <c r="J986" s="7" t="n">
        <v>0.15</v>
      </c>
      <c r="K986" s="8" t="n">
        <f aca="false">H986*I986*(1-J986)</f>
        <v>1606.5</v>
      </c>
      <c r="L986" s="6" t="n">
        <f aca="false">H986*INDEX(Products!$E$2:$E$9,MATCH(E986,Products!$A$2:$A$9,0))</f>
        <v>980</v>
      </c>
      <c r="M986" s="8" t="n">
        <f aca="false">K986-L986</f>
        <v>626.5</v>
      </c>
      <c r="N986" s="2" t="s">
        <v>19</v>
      </c>
      <c r="O986" s="2" t="s">
        <v>36</v>
      </c>
    </row>
    <row r="987" customFormat="false" ht="15" hidden="false" customHeight="false" outlineLevel="0" collapsed="false">
      <c r="A987" s="2" t="s">
        <v>1041</v>
      </c>
      <c r="B987" s="3" t="n">
        <v>46064</v>
      </c>
      <c r="C987" s="2" t="s">
        <v>47</v>
      </c>
      <c r="D987" s="2" t="s">
        <v>55</v>
      </c>
      <c r="E987" s="2" t="s">
        <v>23</v>
      </c>
      <c r="F987" s="4" t="str">
        <f aca="false">INDEX(Products!$B$2:$B$9,MATCH(E987,Products!$A$2:$A$9,0))</f>
        <v>Sensor Hub S</v>
      </c>
      <c r="G987" s="4" t="str">
        <f aca="false">INDEX(Products!$C$2:$C$9,MATCH(E987,Products!$A$2:$A$9,0))</f>
        <v>Hardware</v>
      </c>
      <c r="H987" s="5" t="n">
        <v>8</v>
      </c>
      <c r="I987" s="6" t="n">
        <f aca="false">INDEX(Products!$D$2:$D$9,MATCH(E987,Products!$A$2:$A$9,0))</f>
        <v>189</v>
      </c>
      <c r="J987" s="7" t="n">
        <v>0.1</v>
      </c>
      <c r="K987" s="8" t="n">
        <f aca="false">H987*I987*(1-J987)</f>
        <v>1360.8</v>
      </c>
      <c r="L987" s="6" t="n">
        <f aca="false">H987*INDEX(Products!$E$2:$E$9,MATCH(E987,Products!$A$2:$A$9,0))</f>
        <v>784</v>
      </c>
      <c r="M987" s="8" t="n">
        <f aca="false">K987-L987</f>
        <v>576.8</v>
      </c>
      <c r="N987" s="2" t="s">
        <v>19</v>
      </c>
      <c r="O987" s="2" t="s">
        <v>50</v>
      </c>
    </row>
    <row r="988" customFormat="false" ht="15" hidden="false" customHeight="false" outlineLevel="0" collapsed="false">
      <c r="A988" s="2" t="s">
        <v>1042</v>
      </c>
      <c r="B988" s="3" t="n">
        <v>46064</v>
      </c>
      <c r="C988" s="2" t="s">
        <v>41</v>
      </c>
      <c r="D988" s="2" t="s">
        <v>66</v>
      </c>
      <c r="E988" s="2" t="s">
        <v>32</v>
      </c>
      <c r="F988" s="4" t="str">
        <f aca="false">INDEX(Products!$B$2:$B$9,MATCH(E988,Products!$A$2:$A$9,0))</f>
        <v>Analytics Plus</v>
      </c>
      <c r="G988" s="4" t="str">
        <f aca="false">INDEX(Products!$C$2:$C$9,MATCH(E988,Products!$A$2:$A$9,0))</f>
        <v>Software</v>
      </c>
      <c r="H988" s="5" t="n">
        <v>2</v>
      </c>
      <c r="I988" s="6" t="n">
        <f aca="false">INDEX(Products!$D$2:$D$9,MATCH(E988,Products!$A$2:$A$9,0))</f>
        <v>290</v>
      </c>
      <c r="J988" s="7" t="n">
        <v>0</v>
      </c>
      <c r="K988" s="8" t="n">
        <f aca="false">H988*I988*(1-J988)</f>
        <v>580</v>
      </c>
      <c r="L988" s="6" t="n">
        <f aca="false">H988*INDEX(Products!$E$2:$E$9,MATCH(E988,Products!$A$2:$A$9,0))</f>
        <v>82</v>
      </c>
      <c r="M988" s="8" t="n">
        <f aca="false">K988-L988</f>
        <v>498</v>
      </c>
      <c r="N988" s="2" t="s">
        <v>28</v>
      </c>
      <c r="O988" s="2" t="s">
        <v>43</v>
      </c>
    </row>
    <row r="989" customFormat="false" ht="15" hidden="false" customHeight="false" outlineLevel="0" collapsed="false">
      <c r="A989" s="2" t="s">
        <v>1043</v>
      </c>
      <c r="B989" s="3" t="n">
        <v>46065</v>
      </c>
      <c r="C989" s="2" t="s">
        <v>16</v>
      </c>
      <c r="D989" s="2" t="s">
        <v>35</v>
      </c>
      <c r="E989" s="2" t="s">
        <v>26</v>
      </c>
      <c r="F989" s="4" t="str">
        <f aca="false">INDEX(Products!$B$2:$B$9,MATCH(E989,Products!$A$2:$A$9,0))</f>
        <v>Analytics Basic</v>
      </c>
      <c r="G989" s="4" t="str">
        <f aca="false">INDEX(Products!$C$2:$C$9,MATCH(E989,Products!$A$2:$A$9,0))</f>
        <v>Software</v>
      </c>
      <c r="H989" s="5" t="n">
        <v>5</v>
      </c>
      <c r="I989" s="6" t="n">
        <f aca="false">INDEX(Products!$D$2:$D$9,MATCH(E989,Products!$A$2:$A$9,0))</f>
        <v>120</v>
      </c>
      <c r="J989" s="7" t="n">
        <v>0.15</v>
      </c>
      <c r="K989" s="8" t="n">
        <f aca="false">H989*I989*(1-J989)</f>
        <v>510</v>
      </c>
      <c r="L989" s="6" t="n">
        <f aca="false">H989*INDEX(Products!$E$2:$E$9,MATCH(E989,Products!$A$2:$A$9,0))</f>
        <v>90</v>
      </c>
      <c r="M989" s="8" t="n">
        <f aca="false">K989-L989</f>
        <v>420</v>
      </c>
      <c r="N989" s="2" t="s">
        <v>19</v>
      </c>
      <c r="O989" s="2" t="s">
        <v>36</v>
      </c>
    </row>
    <row r="990" customFormat="false" ht="15" hidden="false" customHeight="false" outlineLevel="0" collapsed="false">
      <c r="A990" s="2" t="s">
        <v>1044</v>
      </c>
      <c r="B990" s="3" t="n">
        <v>46065</v>
      </c>
      <c r="C990" s="2" t="s">
        <v>47</v>
      </c>
      <c r="D990" s="2" t="s">
        <v>48</v>
      </c>
      <c r="E990" s="2" t="s">
        <v>23</v>
      </c>
      <c r="F990" s="4" t="str">
        <f aca="false">INDEX(Products!$B$2:$B$9,MATCH(E990,Products!$A$2:$A$9,0))</f>
        <v>Sensor Hub S</v>
      </c>
      <c r="G990" s="4" t="str">
        <f aca="false">INDEX(Products!$C$2:$C$9,MATCH(E990,Products!$A$2:$A$9,0))</f>
        <v>Hardware</v>
      </c>
      <c r="H990" s="5" t="n">
        <v>12</v>
      </c>
      <c r="I990" s="6" t="n">
        <f aca="false">INDEX(Products!$D$2:$D$9,MATCH(E990,Products!$A$2:$A$9,0))</f>
        <v>189</v>
      </c>
      <c r="J990" s="7" t="n">
        <v>0</v>
      </c>
      <c r="K990" s="8" t="n">
        <f aca="false">H990*I990*(1-J990)</f>
        <v>2268</v>
      </c>
      <c r="L990" s="6" t="n">
        <f aca="false">H990*INDEX(Products!$E$2:$E$9,MATCH(E990,Products!$A$2:$A$9,0))</f>
        <v>1176</v>
      </c>
      <c r="M990" s="8" t="n">
        <f aca="false">K990-L990</f>
        <v>1092</v>
      </c>
      <c r="N990" s="2" t="s">
        <v>38</v>
      </c>
      <c r="O990" s="2" t="s">
        <v>72</v>
      </c>
    </row>
    <row r="991" customFormat="false" ht="15" hidden="false" customHeight="false" outlineLevel="0" collapsed="false">
      <c r="A991" s="2" t="s">
        <v>1045</v>
      </c>
      <c r="B991" s="3" t="n">
        <v>46065</v>
      </c>
      <c r="C991" s="2" t="s">
        <v>30</v>
      </c>
      <c r="D991" s="2" t="s">
        <v>128</v>
      </c>
      <c r="E991" s="2" t="s">
        <v>68</v>
      </c>
      <c r="F991" s="4" t="str">
        <f aca="false">INDEX(Products!$B$2:$B$9,MATCH(E991,Products!$A$2:$A$9,0))</f>
        <v>Premium Support</v>
      </c>
      <c r="G991" s="4" t="str">
        <f aca="false">INDEX(Products!$C$2:$C$9,MATCH(E991,Products!$A$2:$A$9,0))</f>
        <v>Services</v>
      </c>
      <c r="H991" s="5" t="n">
        <v>1</v>
      </c>
      <c r="I991" s="6" t="n">
        <f aca="false">INDEX(Products!$D$2:$D$9,MATCH(E991,Products!$A$2:$A$9,0))</f>
        <v>600</v>
      </c>
      <c r="J991" s="7" t="n">
        <v>0</v>
      </c>
      <c r="K991" s="8" t="n">
        <f aca="false">H991*I991*(1-J991)</f>
        <v>600</v>
      </c>
      <c r="L991" s="6" t="n">
        <f aca="false">H991*INDEX(Products!$E$2:$E$9,MATCH(E991,Products!$A$2:$A$9,0))</f>
        <v>395</v>
      </c>
      <c r="M991" s="8" t="n">
        <f aca="false">K991-L991</f>
        <v>205</v>
      </c>
      <c r="N991" s="2" t="s">
        <v>28</v>
      </c>
      <c r="O991" s="2" t="s">
        <v>64</v>
      </c>
    </row>
    <row r="992" customFormat="false" ht="15" hidden="false" customHeight="false" outlineLevel="0" collapsed="false">
      <c r="A992" s="2" t="s">
        <v>1046</v>
      </c>
      <c r="B992" s="3" t="n">
        <v>46066</v>
      </c>
      <c r="C992" s="2" t="s">
        <v>16</v>
      </c>
      <c r="D992" s="2" t="s">
        <v>25</v>
      </c>
      <c r="E992" s="2" t="s">
        <v>18</v>
      </c>
      <c r="F992" s="4" t="str">
        <f aca="false">INDEX(Products!$B$2:$B$9,MATCH(E992,Products!$A$2:$A$9,0))</f>
        <v>Sensor Hub Pro</v>
      </c>
      <c r="G992" s="4" t="str">
        <f aca="false">INDEX(Products!$C$2:$C$9,MATCH(E992,Products!$A$2:$A$9,0))</f>
        <v>Hardware</v>
      </c>
      <c r="H992" s="5" t="n">
        <v>2</v>
      </c>
      <c r="I992" s="6" t="n">
        <f aca="false">INDEX(Products!$D$2:$D$9,MATCH(E992,Products!$A$2:$A$9,0))</f>
        <v>349</v>
      </c>
      <c r="J992" s="7" t="n">
        <v>0.15</v>
      </c>
      <c r="K992" s="8" t="n">
        <f aca="false">H992*I992*(1-J992)</f>
        <v>593.3</v>
      </c>
      <c r="L992" s="6" t="n">
        <f aca="false">H992*INDEX(Products!$E$2:$E$9,MATCH(E992,Products!$A$2:$A$9,0))</f>
        <v>402</v>
      </c>
      <c r="M992" s="8" t="n">
        <f aca="false">K992-L992</f>
        <v>191.3</v>
      </c>
      <c r="N992" s="2" t="s">
        <v>38</v>
      </c>
      <c r="O992" s="2" t="s">
        <v>36</v>
      </c>
    </row>
    <row r="993" customFormat="false" ht="15" hidden="false" customHeight="false" outlineLevel="0" collapsed="false">
      <c r="A993" s="2" t="s">
        <v>1047</v>
      </c>
      <c r="B993" s="3" t="n">
        <v>46066</v>
      </c>
      <c r="C993" s="2" t="s">
        <v>16</v>
      </c>
      <c r="D993" s="2" t="s">
        <v>22</v>
      </c>
      <c r="E993" s="2" t="s">
        <v>18</v>
      </c>
      <c r="F993" s="4" t="str">
        <f aca="false">INDEX(Products!$B$2:$B$9,MATCH(E993,Products!$A$2:$A$9,0))</f>
        <v>Sensor Hub Pro</v>
      </c>
      <c r="G993" s="4" t="str">
        <f aca="false">INDEX(Products!$C$2:$C$9,MATCH(E993,Products!$A$2:$A$9,0))</f>
        <v>Hardware</v>
      </c>
      <c r="H993" s="5" t="n">
        <v>5</v>
      </c>
      <c r="I993" s="6" t="n">
        <f aca="false">INDEX(Products!$D$2:$D$9,MATCH(E993,Products!$A$2:$A$9,0))</f>
        <v>349</v>
      </c>
      <c r="J993" s="7" t="n">
        <v>0.1</v>
      </c>
      <c r="K993" s="8" t="n">
        <f aca="false">H993*I993*(1-J993)</f>
        <v>1570.5</v>
      </c>
      <c r="L993" s="6" t="n">
        <f aca="false">H993*INDEX(Products!$E$2:$E$9,MATCH(E993,Products!$A$2:$A$9,0))</f>
        <v>1005</v>
      </c>
      <c r="M993" s="8" t="n">
        <f aca="false">K993-L993</f>
        <v>565.5</v>
      </c>
      <c r="N993" s="2" t="s">
        <v>19</v>
      </c>
      <c r="O993" s="2" t="s">
        <v>36</v>
      </c>
    </row>
    <row r="994" customFormat="false" ht="15" hidden="false" customHeight="false" outlineLevel="0" collapsed="false">
      <c r="A994" s="2" t="s">
        <v>1048</v>
      </c>
      <c r="B994" s="3" t="n">
        <v>46067</v>
      </c>
      <c r="C994" s="2" t="s">
        <v>30</v>
      </c>
      <c r="D994" s="2" t="s">
        <v>31</v>
      </c>
      <c r="E994" s="2" t="s">
        <v>61</v>
      </c>
      <c r="F994" s="4" t="str">
        <f aca="false">INDEX(Products!$B$2:$B$9,MATCH(E994,Products!$A$2:$A$9,0))</f>
        <v>Install Service</v>
      </c>
      <c r="G994" s="4" t="str">
        <f aca="false">INDEX(Products!$C$2:$C$9,MATCH(E994,Products!$A$2:$A$9,0))</f>
        <v>Services</v>
      </c>
      <c r="H994" s="5" t="n">
        <v>1</v>
      </c>
      <c r="I994" s="6" t="n">
        <f aca="false">INDEX(Products!$D$2:$D$9,MATCH(E994,Products!$A$2:$A$9,0))</f>
        <v>450</v>
      </c>
      <c r="J994" s="7" t="n">
        <v>0.05</v>
      </c>
      <c r="K994" s="8" t="n">
        <f aca="false">H994*I994*(1-J994)</f>
        <v>427.5</v>
      </c>
      <c r="L994" s="6" t="n">
        <f aca="false">H994*INDEX(Products!$E$2:$E$9,MATCH(E994,Products!$A$2:$A$9,0))</f>
        <v>310</v>
      </c>
      <c r="M994" s="8" t="n">
        <f aca="false">K994-L994</f>
        <v>117.5</v>
      </c>
      <c r="N994" s="2" t="s">
        <v>38</v>
      </c>
      <c r="O994" s="2" t="s">
        <v>33</v>
      </c>
    </row>
    <row r="995" customFormat="false" ht="15" hidden="false" customHeight="false" outlineLevel="0" collapsed="false">
      <c r="A995" s="2" t="s">
        <v>1049</v>
      </c>
      <c r="B995" s="3" t="n">
        <v>46069</v>
      </c>
      <c r="C995" s="2" t="s">
        <v>47</v>
      </c>
      <c r="D995" s="2" t="s">
        <v>71</v>
      </c>
      <c r="E995" s="2" t="s">
        <v>49</v>
      </c>
      <c r="F995" s="4" t="str">
        <f aca="false">INDEX(Products!$B$2:$B$9,MATCH(E995,Products!$A$2:$A$9,0))</f>
        <v>Mounting Kit</v>
      </c>
      <c r="G995" s="4" t="str">
        <f aca="false">INDEX(Products!$C$2:$C$9,MATCH(E995,Products!$A$2:$A$9,0))</f>
        <v>Accessories</v>
      </c>
      <c r="H995" s="5" t="n">
        <v>8</v>
      </c>
      <c r="I995" s="6" t="n">
        <f aca="false">INDEX(Products!$D$2:$D$9,MATCH(E995,Products!$A$2:$A$9,0))</f>
        <v>39</v>
      </c>
      <c r="J995" s="7" t="n">
        <v>0.05</v>
      </c>
      <c r="K995" s="8" t="n">
        <f aca="false">H995*I995*(1-J995)</f>
        <v>296.4</v>
      </c>
      <c r="L995" s="6" t="n">
        <f aca="false">H995*INDEX(Products!$E$2:$E$9,MATCH(E995,Products!$A$2:$A$9,0))</f>
        <v>252</v>
      </c>
      <c r="M995" s="8" t="n">
        <f aca="false">K995-L995</f>
        <v>44.4</v>
      </c>
      <c r="N995" s="2" t="s">
        <v>28</v>
      </c>
      <c r="O995" s="2" t="s">
        <v>72</v>
      </c>
    </row>
    <row r="996" customFormat="false" ht="15" hidden="false" customHeight="false" outlineLevel="0" collapsed="false">
      <c r="A996" s="2" t="s">
        <v>1050</v>
      </c>
      <c r="B996" s="3" t="n">
        <v>46070</v>
      </c>
      <c r="C996" s="2" t="s">
        <v>41</v>
      </c>
      <c r="D996" s="2" t="s">
        <v>66</v>
      </c>
      <c r="E996" s="2" t="s">
        <v>26</v>
      </c>
      <c r="F996" s="4" t="str">
        <f aca="false">INDEX(Products!$B$2:$B$9,MATCH(E996,Products!$A$2:$A$9,0))</f>
        <v>Analytics Basic</v>
      </c>
      <c r="G996" s="4" t="str">
        <f aca="false">INDEX(Products!$C$2:$C$9,MATCH(E996,Products!$A$2:$A$9,0))</f>
        <v>Software</v>
      </c>
      <c r="H996" s="5" t="n">
        <v>2</v>
      </c>
      <c r="I996" s="6" t="n">
        <f aca="false">INDEX(Products!$D$2:$D$9,MATCH(E996,Products!$A$2:$A$9,0))</f>
        <v>120</v>
      </c>
      <c r="J996" s="7" t="n">
        <v>0.05</v>
      </c>
      <c r="K996" s="8" t="n">
        <f aca="false">H996*I996*(1-J996)</f>
        <v>228</v>
      </c>
      <c r="L996" s="6" t="n">
        <f aca="false">H996*INDEX(Products!$E$2:$E$9,MATCH(E996,Products!$A$2:$A$9,0))</f>
        <v>36</v>
      </c>
      <c r="M996" s="8" t="n">
        <f aca="false">K996-L996</f>
        <v>192</v>
      </c>
      <c r="N996" s="2" t="s">
        <v>28</v>
      </c>
      <c r="O996" s="2" t="s">
        <v>52</v>
      </c>
    </row>
    <row r="997" customFormat="false" ht="15" hidden="false" customHeight="false" outlineLevel="0" collapsed="false">
      <c r="A997" s="2" t="s">
        <v>1051</v>
      </c>
      <c r="B997" s="3" t="n">
        <v>46070</v>
      </c>
      <c r="C997" s="2" t="s">
        <v>41</v>
      </c>
      <c r="D997" s="2" t="s">
        <v>42</v>
      </c>
      <c r="E997" s="2" t="s">
        <v>32</v>
      </c>
      <c r="F997" s="4" t="str">
        <f aca="false">INDEX(Products!$B$2:$B$9,MATCH(E997,Products!$A$2:$A$9,0))</f>
        <v>Analytics Plus</v>
      </c>
      <c r="G997" s="4" t="str">
        <f aca="false">INDEX(Products!$C$2:$C$9,MATCH(E997,Products!$A$2:$A$9,0))</f>
        <v>Software</v>
      </c>
      <c r="H997" s="5" t="n">
        <v>5</v>
      </c>
      <c r="I997" s="6" t="n">
        <f aca="false">INDEX(Products!$D$2:$D$9,MATCH(E997,Products!$A$2:$A$9,0))</f>
        <v>290</v>
      </c>
      <c r="J997" s="7" t="n">
        <v>0.05</v>
      </c>
      <c r="K997" s="8" t="n">
        <f aca="false">H997*I997*(1-J997)</f>
        <v>1377.5</v>
      </c>
      <c r="L997" s="6" t="n">
        <f aca="false">H997*INDEX(Products!$E$2:$E$9,MATCH(E997,Products!$A$2:$A$9,0))</f>
        <v>205</v>
      </c>
      <c r="M997" s="8" t="n">
        <f aca="false">K997-L997</f>
        <v>1172.5</v>
      </c>
      <c r="N997" s="2" t="s">
        <v>28</v>
      </c>
      <c r="O997" s="2" t="s">
        <v>52</v>
      </c>
    </row>
    <row r="998" customFormat="false" ht="15" hidden="false" customHeight="false" outlineLevel="0" collapsed="false">
      <c r="A998" s="2" t="s">
        <v>1052</v>
      </c>
      <c r="B998" s="3" t="n">
        <v>46070</v>
      </c>
      <c r="C998" s="2" t="s">
        <v>47</v>
      </c>
      <c r="D998" s="2" t="s">
        <v>157</v>
      </c>
      <c r="E998" s="2" t="s">
        <v>23</v>
      </c>
      <c r="F998" s="4" t="str">
        <f aca="false">INDEX(Products!$B$2:$B$9,MATCH(E998,Products!$A$2:$A$9,0))</f>
        <v>Sensor Hub S</v>
      </c>
      <c r="G998" s="4" t="str">
        <f aca="false">INDEX(Products!$C$2:$C$9,MATCH(E998,Products!$A$2:$A$9,0))</f>
        <v>Hardware</v>
      </c>
      <c r="H998" s="5" t="n">
        <v>8</v>
      </c>
      <c r="I998" s="6" t="n">
        <f aca="false">INDEX(Products!$D$2:$D$9,MATCH(E998,Products!$A$2:$A$9,0))</f>
        <v>189</v>
      </c>
      <c r="J998" s="7" t="n">
        <v>0</v>
      </c>
      <c r="K998" s="8" t="n">
        <f aca="false">H998*I998*(1-J998)</f>
        <v>1512</v>
      </c>
      <c r="L998" s="6" t="n">
        <f aca="false">H998*INDEX(Products!$E$2:$E$9,MATCH(E998,Products!$A$2:$A$9,0))</f>
        <v>784</v>
      </c>
      <c r="M998" s="8" t="n">
        <f aca="false">K998-L998</f>
        <v>728</v>
      </c>
      <c r="N998" s="2" t="s">
        <v>28</v>
      </c>
      <c r="O998" s="2" t="s">
        <v>72</v>
      </c>
    </row>
    <row r="999" customFormat="false" ht="15" hidden="false" customHeight="false" outlineLevel="0" collapsed="false">
      <c r="A999" s="2" t="s">
        <v>1053</v>
      </c>
      <c r="B999" s="3" t="n">
        <v>46071</v>
      </c>
      <c r="C999" s="2" t="s">
        <v>47</v>
      </c>
      <c r="D999" s="2" t="s">
        <v>55</v>
      </c>
      <c r="E999" s="2" t="s">
        <v>18</v>
      </c>
      <c r="F999" s="4" t="str">
        <f aca="false">INDEX(Products!$B$2:$B$9,MATCH(E999,Products!$A$2:$A$9,0))</f>
        <v>Sensor Hub Pro</v>
      </c>
      <c r="G999" s="4" t="str">
        <f aca="false">INDEX(Products!$C$2:$C$9,MATCH(E999,Products!$A$2:$A$9,0))</f>
        <v>Hardware</v>
      </c>
      <c r="H999" s="5" t="n">
        <v>1</v>
      </c>
      <c r="I999" s="6" t="n">
        <f aca="false">INDEX(Products!$D$2:$D$9,MATCH(E999,Products!$A$2:$A$9,0))</f>
        <v>349</v>
      </c>
      <c r="J999" s="7" t="n">
        <v>0.1</v>
      </c>
      <c r="K999" s="8" t="n">
        <f aca="false">H999*I999*(1-J999)</f>
        <v>314.1</v>
      </c>
      <c r="L999" s="6" t="n">
        <f aca="false">H999*INDEX(Products!$E$2:$E$9,MATCH(E999,Products!$A$2:$A$9,0))</f>
        <v>201</v>
      </c>
      <c r="M999" s="8" t="n">
        <f aca="false">K999-L999</f>
        <v>113.1</v>
      </c>
      <c r="N999" s="2" t="s">
        <v>19</v>
      </c>
      <c r="O999" s="2" t="s">
        <v>50</v>
      </c>
    </row>
    <row r="1000" customFormat="false" ht="15" hidden="false" customHeight="false" outlineLevel="0" collapsed="false">
      <c r="A1000" s="2" t="s">
        <v>1054</v>
      </c>
      <c r="B1000" s="3" t="n">
        <v>46072</v>
      </c>
      <c r="C1000" s="2" t="s">
        <v>41</v>
      </c>
      <c r="D1000" s="2" t="s">
        <v>42</v>
      </c>
      <c r="E1000" s="2" t="s">
        <v>68</v>
      </c>
      <c r="F1000" s="4" t="str">
        <f aca="false">INDEX(Products!$B$2:$B$9,MATCH(E1000,Products!$A$2:$A$9,0))</f>
        <v>Premium Support</v>
      </c>
      <c r="G1000" s="4" t="str">
        <f aca="false">INDEX(Products!$C$2:$C$9,MATCH(E1000,Products!$A$2:$A$9,0))</f>
        <v>Services</v>
      </c>
      <c r="H1000" s="5" t="n">
        <v>1</v>
      </c>
      <c r="I1000" s="6" t="n">
        <f aca="false">INDEX(Products!$D$2:$D$9,MATCH(E1000,Products!$A$2:$A$9,0))</f>
        <v>600</v>
      </c>
      <c r="J1000" s="7" t="n">
        <v>0</v>
      </c>
      <c r="K1000" s="8" t="n">
        <f aca="false">H1000*I1000*(1-J1000)</f>
        <v>600</v>
      </c>
      <c r="L1000" s="6" t="n">
        <f aca="false">H1000*INDEX(Products!$E$2:$E$9,MATCH(E1000,Products!$A$2:$A$9,0))</f>
        <v>395</v>
      </c>
      <c r="M1000" s="8" t="n">
        <f aca="false">K1000-L1000</f>
        <v>205</v>
      </c>
      <c r="N1000" s="2" t="s">
        <v>28</v>
      </c>
      <c r="O1000" s="2" t="s">
        <v>43</v>
      </c>
    </row>
    <row r="1001" customFormat="false" ht="15" hidden="false" customHeight="false" outlineLevel="0" collapsed="false">
      <c r="A1001" s="2" t="s">
        <v>1055</v>
      </c>
      <c r="B1001" s="3" t="n">
        <v>46072</v>
      </c>
      <c r="C1001" s="2" t="s">
        <v>41</v>
      </c>
      <c r="D1001" s="2" t="s">
        <v>42</v>
      </c>
      <c r="E1001" s="2" t="s">
        <v>26</v>
      </c>
      <c r="F1001" s="4" t="str">
        <f aca="false">INDEX(Products!$B$2:$B$9,MATCH(E1001,Products!$A$2:$A$9,0))</f>
        <v>Analytics Basic</v>
      </c>
      <c r="G1001" s="4" t="str">
        <f aca="false">INDEX(Products!$C$2:$C$9,MATCH(E1001,Products!$A$2:$A$9,0))</f>
        <v>Software</v>
      </c>
      <c r="H1001" s="5" t="n">
        <v>1</v>
      </c>
      <c r="I1001" s="6" t="n">
        <f aca="false">INDEX(Products!$D$2:$D$9,MATCH(E1001,Products!$A$2:$A$9,0))</f>
        <v>120</v>
      </c>
      <c r="J1001" s="7" t="n">
        <v>0.1</v>
      </c>
      <c r="K1001" s="8" t="n">
        <f aca="false">H1001*I1001*(1-J1001)</f>
        <v>108</v>
      </c>
      <c r="L1001" s="6" t="n">
        <f aca="false">H1001*INDEX(Products!$E$2:$E$9,MATCH(E1001,Products!$A$2:$A$9,0))</f>
        <v>18</v>
      </c>
      <c r="M1001" s="8" t="n">
        <f aca="false">K1001-L1001</f>
        <v>90</v>
      </c>
      <c r="N1001" s="2" t="s">
        <v>19</v>
      </c>
      <c r="O1001" s="2" t="s">
        <v>52</v>
      </c>
    </row>
    <row r="1002" customFormat="false" ht="15" hidden="false" customHeight="false" outlineLevel="0" collapsed="false">
      <c r="A1002" s="2" t="s">
        <v>1056</v>
      </c>
      <c r="B1002" s="3" t="n">
        <v>46073</v>
      </c>
      <c r="C1002" s="2" t="s">
        <v>30</v>
      </c>
      <c r="D1002" s="2" t="s">
        <v>128</v>
      </c>
      <c r="E1002" s="2" t="s">
        <v>18</v>
      </c>
      <c r="F1002" s="4" t="str">
        <f aca="false">INDEX(Products!$B$2:$B$9,MATCH(E1002,Products!$A$2:$A$9,0))</f>
        <v>Sensor Hub Pro</v>
      </c>
      <c r="G1002" s="4" t="str">
        <f aca="false">INDEX(Products!$C$2:$C$9,MATCH(E1002,Products!$A$2:$A$9,0))</f>
        <v>Hardware</v>
      </c>
      <c r="H1002" s="5" t="n">
        <v>12</v>
      </c>
      <c r="I1002" s="6" t="n">
        <f aca="false">INDEX(Products!$D$2:$D$9,MATCH(E1002,Products!$A$2:$A$9,0))</f>
        <v>349</v>
      </c>
      <c r="J1002" s="7" t="n">
        <v>0.25</v>
      </c>
      <c r="K1002" s="8" t="n">
        <f aca="false">H1002*I1002*(1-J1002)</f>
        <v>3141</v>
      </c>
      <c r="L1002" s="6" t="n">
        <f aca="false">H1002*INDEX(Products!$E$2:$E$9,MATCH(E1002,Products!$A$2:$A$9,0))</f>
        <v>2412</v>
      </c>
      <c r="M1002" s="8" t="n">
        <f aca="false">K1002-L1002</f>
        <v>729</v>
      </c>
      <c r="N1002" s="2" t="s">
        <v>19</v>
      </c>
      <c r="O1002" s="2" t="s">
        <v>33</v>
      </c>
    </row>
    <row r="1003" customFormat="false" ht="15" hidden="false" customHeight="false" outlineLevel="0" collapsed="false">
      <c r="A1003" s="2" t="s">
        <v>1057</v>
      </c>
      <c r="B1003" s="3" t="n">
        <v>46073</v>
      </c>
      <c r="C1003" s="2" t="s">
        <v>41</v>
      </c>
      <c r="D1003" s="2" t="s">
        <v>66</v>
      </c>
      <c r="E1003" s="2" t="s">
        <v>18</v>
      </c>
      <c r="F1003" s="4" t="str">
        <f aca="false">INDEX(Products!$B$2:$B$9,MATCH(E1003,Products!$A$2:$A$9,0))</f>
        <v>Sensor Hub Pro</v>
      </c>
      <c r="G1003" s="4" t="str">
        <f aca="false">INDEX(Products!$C$2:$C$9,MATCH(E1003,Products!$A$2:$A$9,0))</f>
        <v>Hardware</v>
      </c>
      <c r="H1003" s="5" t="n">
        <v>2</v>
      </c>
      <c r="I1003" s="6" t="n">
        <f aca="false">INDEX(Products!$D$2:$D$9,MATCH(E1003,Products!$A$2:$A$9,0))</f>
        <v>349</v>
      </c>
      <c r="J1003" s="7" t="n">
        <v>0</v>
      </c>
      <c r="K1003" s="8" t="n">
        <f aca="false">H1003*I1003*(1-J1003)</f>
        <v>698</v>
      </c>
      <c r="L1003" s="6" t="n">
        <f aca="false">H1003*INDEX(Products!$E$2:$E$9,MATCH(E1003,Products!$A$2:$A$9,0))</f>
        <v>402</v>
      </c>
      <c r="M1003" s="8" t="n">
        <f aca="false">K1003-L1003</f>
        <v>296</v>
      </c>
      <c r="N1003" s="2" t="s">
        <v>28</v>
      </c>
      <c r="O1003" s="2" t="s">
        <v>43</v>
      </c>
    </row>
    <row r="1004" customFormat="false" ht="15" hidden="false" customHeight="false" outlineLevel="0" collapsed="false">
      <c r="A1004" s="2" t="s">
        <v>1058</v>
      </c>
      <c r="B1004" s="3" t="n">
        <v>46073</v>
      </c>
      <c r="C1004" s="2" t="s">
        <v>47</v>
      </c>
      <c r="D1004" s="2" t="s">
        <v>71</v>
      </c>
      <c r="E1004" s="2" t="s">
        <v>23</v>
      </c>
      <c r="F1004" s="4" t="str">
        <f aca="false">INDEX(Products!$B$2:$B$9,MATCH(E1004,Products!$A$2:$A$9,0))</f>
        <v>Sensor Hub S</v>
      </c>
      <c r="G1004" s="4" t="str">
        <f aca="false">INDEX(Products!$C$2:$C$9,MATCH(E1004,Products!$A$2:$A$9,0))</f>
        <v>Hardware</v>
      </c>
      <c r="H1004" s="5" t="n">
        <v>5</v>
      </c>
      <c r="I1004" s="6" t="n">
        <f aca="false">INDEX(Products!$D$2:$D$9,MATCH(E1004,Products!$A$2:$A$9,0))</f>
        <v>189</v>
      </c>
      <c r="J1004" s="7" t="n">
        <v>0</v>
      </c>
      <c r="K1004" s="8" t="n">
        <f aca="false">H1004*I1004*(1-J1004)</f>
        <v>945</v>
      </c>
      <c r="L1004" s="6" t="n">
        <f aca="false">H1004*INDEX(Products!$E$2:$E$9,MATCH(E1004,Products!$A$2:$A$9,0))</f>
        <v>490</v>
      </c>
      <c r="M1004" s="8" t="n">
        <f aca="false">K1004-L1004</f>
        <v>455</v>
      </c>
      <c r="N1004" s="2" t="s">
        <v>28</v>
      </c>
      <c r="O1004" s="2" t="s">
        <v>50</v>
      </c>
    </row>
    <row r="1005" customFormat="false" ht="15" hidden="false" customHeight="false" outlineLevel="0" collapsed="false">
      <c r="A1005" s="2" t="s">
        <v>1059</v>
      </c>
      <c r="B1005" s="3" t="n">
        <v>46076</v>
      </c>
      <c r="C1005" s="2" t="s">
        <v>59</v>
      </c>
      <c r="D1005" s="2" t="s">
        <v>91</v>
      </c>
      <c r="E1005" s="2" t="s">
        <v>57</v>
      </c>
      <c r="F1005" s="4" t="str">
        <f aca="false">INDEX(Products!$B$2:$B$9,MATCH(E1005,Products!$A$2:$A$9,0))</f>
        <v>Edge Gateway</v>
      </c>
      <c r="G1005" s="4" t="str">
        <f aca="false">INDEX(Products!$C$2:$C$9,MATCH(E1005,Products!$A$2:$A$9,0))</f>
        <v>Hardware</v>
      </c>
      <c r="H1005" s="5" t="n">
        <v>20</v>
      </c>
      <c r="I1005" s="6" t="n">
        <f aca="false">INDEX(Products!$D$2:$D$9,MATCH(E1005,Products!$A$2:$A$9,0))</f>
        <v>899</v>
      </c>
      <c r="J1005" s="7" t="n">
        <v>0.1</v>
      </c>
      <c r="K1005" s="8" t="n">
        <f aca="false">H1005*I1005*(1-J1005)</f>
        <v>16182</v>
      </c>
      <c r="L1005" s="6" t="n">
        <f aca="false">H1005*INDEX(Products!$E$2:$E$9,MATCH(E1005,Products!$A$2:$A$9,0))</f>
        <v>12240</v>
      </c>
      <c r="M1005" s="8" t="n">
        <f aca="false">K1005-L1005</f>
        <v>3942</v>
      </c>
      <c r="N1005" s="2" t="s">
        <v>38</v>
      </c>
      <c r="O1005" s="2" t="s">
        <v>62</v>
      </c>
    </row>
    <row r="1006" customFormat="false" ht="15" hidden="false" customHeight="false" outlineLevel="0" collapsed="false">
      <c r="A1006" s="2" t="s">
        <v>1060</v>
      </c>
      <c r="B1006" s="3" t="n">
        <v>46076</v>
      </c>
      <c r="C1006" s="2" t="s">
        <v>16</v>
      </c>
      <c r="D1006" s="2" t="s">
        <v>22</v>
      </c>
      <c r="E1006" s="2" t="s">
        <v>23</v>
      </c>
      <c r="F1006" s="4" t="str">
        <f aca="false">INDEX(Products!$B$2:$B$9,MATCH(E1006,Products!$A$2:$A$9,0))</f>
        <v>Sensor Hub S</v>
      </c>
      <c r="G1006" s="4" t="str">
        <f aca="false">INDEX(Products!$C$2:$C$9,MATCH(E1006,Products!$A$2:$A$9,0))</f>
        <v>Hardware</v>
      </c>
      <c r="H1006" s="5" t="n">
        <v>2</v>
      </c>
      <c r="I1006" s="6" t="n">
        <f aca="false">INDEX(Products!$D$2:$D$9,MATCH(E1006,Products!$A$2:$A$9,0))</f>
        <v>189</v>
      </c>
      <c r="J1006" s="7" t="n">
        <v>0</v>
      </c>
      <c r="K1006" s="8" t="n">
        <f aca="false">H1006*I1006*(1-J1006)</f>
        <v>378</v>
      </c>
      <c r="L1006" s="6" t="n">
        <f aca="false">H1006*INDEX(Products!$E$2:$E$9,MATCH(E1006,Products!$A$2:$A$9,0))</f>
        <v>196</v>
      </c>
      <c r="M1006" s="8" t="n">
        <f aca="false">K1006-L1006</f>
        <v>182</v>
      </c>
      <c r="N1006" s="2" t="s">
        <v>28</v>
      </c>
      <c r="O1006" s="2" t="s">
        <v>36</v>
      </c>
    </row>
    <row r="1007" customFormat="false" ht="15" hidden="false" customHeight="false" outlineLevel="0" collapsed="false">
      <c r="A1007" s="2" t="s">
        <v>1061</v>
      </c>
      <c r="B1007" s="3" t="n">
        <v>46077</v>
      </c>
      <c r="C1007" s="2" t="s">
        <v>16</v>
      </c>
      <c r="D1007" s="2" t="s">
        <v>22</v>
      </c>
      <c r="E1007" s="2" t="s">
        <v>32</v>
      </c>
      <c r="F1007" s="4" t="str">
        <f aca="false">INDEX(Products!$B$2:$B$9,MATCH(E1007,Products!$A$2:$A$9,0))</f>
        <v>Analytics Plus</v>
      </c>
      <c r="G1007" s="4" t="str">
        <f aca="false">INDEX(Products!$C$2:$C$9,MATCH(E1007,Products!$A$2:$A$9,0))</f>
        <v>Software</v>
      </c>
      <c r="H1007" s="5" t="n">
        <v>5</v>
      </c>
      <c r="I1007" s="6" t="n">
        <f aca="false">INDEX(Products!$D$2:$D$9,MATCH(E1007,Products!$A$2:$A$9,0))</f>
        <v>290</v>
      </c>
      <c r="J1007" s="7" t="n">
        <v>0.15</v>
      </c>
      <c r="K1007" s="8" t="n">
        <f aca="false">H1007*I1007*(1-J1007)</f>
        <v>1232.5</v>
      </c>
      <c r="L1007" s="6" t="n">
        <f aca="false">H1007*INDEX(Products!$E$2:$E$9,MATCH(E1007,Products!$A$2:$A$9,0))</f>
        <v>205</v>
      </c>
      <c r="M1007" s="8" t="n">
        <f aca="false">K1007-L1007</f>
        <v>1027.5</v>
      </c>
      <c r="N1007" s="2" t="s">
        <v>28</v>
      </c>
      <c r="O1007" s="2" t="s">
        <v>36</v>
      </c>
    </row>
    <row r="1008" customFormat="false" ht="15" hidden="false" customHeight="false" outlineLevel="0" collapsed="false">
      <c r="A1008" s="2" t="s">
        <v>1062</v>
      </c>
      <c r="B1008" s="3" t="n">
        <v>46077</v>
      </c>
      <c r="C1008" s="2" t="s">
        <v>47</v>
      </c>
      <c r="D1008" s="2" t="s">
        <v>48</v>
      </c>
      <c r="E1008" s="2" t="s">
        <v>26</v>
      </c>
      <c r="F1008" s="4" t="str">
        <f aca="false">INDEX(Products!$B$2:$B$9,MATCH(E1008,Products!$A$2:$A$9,0))</f>
        <v>Analytics Basic</v>
      </c>
      <c r="G1008" s="4" t="str">
        <f aca="false">INDEX(Products!$C$2:$C$9,MATCH(E1008,Products!$A$2:$A$9,0))</f>
        <v>Software</v>
      </c>
      <c r="H1008" s="5" t="n">
        <v>2</v>
      </c>
      <c r="I1008" s="6" t="n">
        <f aca="false">INDEX(Products!$D$2:$D$9,MATCH(E1008,Products!$A$2:$A$9,0))</f>
        <v>120</v>
      </c>
      <c r="J1008" s="7" t="n">
        <v>0</v>
      </c>
      <c r="K1008" s="8" t="n">
        <f aca="false">H1008*I1008*(1-J1008)</f>
        <v>240</v>
      </c>
      <c r="L1008" s="6" t="n">
        <f aca="false">H1008*INDEX(Products!$E$2:$E$9,MATCH(E1008,Products!$A$2:$A$9,0))</f>
        <v>36</v>
      </c>
      <c r="M1008" s="8" t="n">
        <f aca="false">K1008-L1008</f>
        <v>204</v>
      </c>
      <c r="N1008" s="2" t="s">
        <v>28</v>
      </c>
      <c r="O1008" s="2" t="s">
        <v>72</v>
      </c>
    </row>
    <row r="1009" customFormat="false" ht="15" hidden="false" customHeight="false" outlineLevel="0" collapsed="false">
      <c r="A1009" s="2" t="s">
        <v>1063</v>
      </c>
      <c r="B1009" s="3" t="n">
        <v>46077</v>
      </c>
      <c r="C1009" s="2" t="s">
        <v>41</v>
      </c>
      <c r="D1009" s="2" t="s">
        <v>66</v>
      </c>
      <c r="E1009" s="2" t="s">
        <v>26</v>
      </c>
      <c r="F1009" s="4" t="str">
        <f aca="false">INDEX(Products!$B$2:$B$9,MATCH(E1009,Products!$A$2:$A$9,0))</f>
        <v>Analytics Basic</v>
      </c>
      <c r="G1009" s="4" t="str">
        <f aca="false">INDEX(Products!$C$2:$C$9,MATCH(E1009,Products!$A$2:$A$9,0))</f>
        <v>Software</v>
      </c>
      <c r="H1009" s="5" t="n">
        <v>2</v>
      </c>
      <c r="I1009" s="6" t="n">
        <f aca="false">INDEX(Products!$D$2:$D$9,MATCH(E1009,Products!$A$2:$A$9,0))</f>
        <v>120</v>
      </c>
      <c r="J1009" s="7" t="n">
        <v>0.15</v>
      </c>
      <c r="K1009" s="8" t="n">
        <f aca="false">H1009*I1009*(1-J1009)</f>
        <v>204</v>
      </c>
      <c r="L1009" s="6" t="n">
        <f aca="false">H1009*INDEX(Products!$E$2:$E$9,MATCH(E1009,Products!$A$2:$A$9,0))</f>
        <v>36</v>
      </c>
      <c r="M1009" s="8" t="n">
        <f aca="false">K1009-L1009</f>
        <v>168</v>
      </c>
      <c r="N1009" s="2" t="s">
        <v>28</v>
      </c>
      <c r="O1009" s="2" t="s">
        <v>43</v>
      </c>
    </row>
    <row r="1010" customFormat="false" ht="15" hidden="false" customHeight="false" outlineLevel="0" collapsed="false">
      <c r="A1010" s="2" t="s">
        <v>1064</v>
      </c>
      <c r="B1010" s="3" t="n">
        <v>46078</v>
      </c>
      <c r="C1010" s="2" t="s">
        <v>30</v>
      </c>
      <c r="D1010" s="2" t="s">
        <v>128</v>
      </c>
      <c r="E1010" s="2" t="s">
        <v>23</v>
      </c>
      <c r="F1010" s="4" t="str">
        <f aca="false">INDEX(Products!$B$2:$B$9,MATCH(E1010,Products!$A$2:$A$9,0))</f>
        <v>Sensor Hub S</v>
      </c>
      <c r="G1010" s="4" t="str">
        <f aca="false">INDEX(Products!$C$2:$C$9,MATCH(E1010,Products!$A$2:$A$9,0))</f>
        <v>Hardware</v>
      </c>
      <c r="H1010" s="5" t="n">
        <v>1</v>
      </c>
      <c r="I1010" s="6" t="n">
        <f aca="false">INDEX(Products!$D$2:$D$9,MATCH(E1010,Products!$A$2:$A$9,0))</f>
        <v>189</v>
      </c>
      <c r="J1010" s="7" t="n">
        <v>0.15</v>
      </c>
      <c r="K1010" s="8" t="n">
        <f aca="false">H1010*I1010*(1-J1010)</f>
        <v>160.65</v>
      </c>
      <c r="L1010" s="6" t="n">
        <f aca="false">H1010*INDEX(Products!$E$2:$E$9,MATCH(E1010,Products!$A$2:$A$9,0))</f>
        <v>98</v>
      </c>
      <c r="M1010" s="8" t="n">
        <f aca="false">K1010-L1010</f>
        <v>62.65</v>
      </c>
      <c r="N1010" s="2" t="s">
        <v>28</v>
      </c>
      <c r="O1010" s="2" t="s">
        <v>33</v>
      </c>
    </row>
    <row r="1011" customFormat="false" ht="15" hidden="false" customHeight="false" outlineLevel="0" collapsed="false">
      <c r="A1011" s="2" t="s">
        <v>1065</v>
      </c>
      <c r="B1011" s="3" t="n">
        <v>46078</v>
      </c>
      <c r="C1011" s="2" t="s">
        <v>59</v>
      </c>
      <c r="D1011" s="2" t="s">
        <v>60</v>
      </c>
      <c r="E1011" s="2" t="s">
        <v>68</v>
      </c>
      <c r="F1011" s="4" t="str">
        <f aca="false">INDEX(Products!$B$2:$B$9,MATCH(E1011,Products!$A$2:$A$9,0))</f>
        <v>Premium Support</v>
      </c>
      <c r="G1011" s="4" t="str">
        <f aca="false">INDEX(Products!$C$2:$C$9,MATCH(E1011,Products!$A$2:$A$9,0))</f>
        <v>Services</v>
      </c>
      <c r="H1011" s="5" t="n">
        <v>5</v>
      </c>
      <c r="I1011" s="6" t="n">
        <f aca="false">INDEX(Products!$D$2:$D$9,MATCH(E1011,Products!$A$2:$A$9,0))</f>
        <v>600</v>
      </c>
      <c r="J1011" s="7" t="n">
        <v>0.2</v>
      </c>
      <c r="K1011" s="8" t="n">
        <f aca="false">H1011*I1011*(1-J1011)</f>
        <v>2400</v>
      </c>
      <c r="L1011" s="6" t="n">
        <f aca="false">H1011*INDEX(Products!$E$2:$E$9,MATCH(E1011,Products!$A$2:$A$9,0))</f>
        <v>1975</v>
      </c>
      <c r="M1011" s="8" t="n">
        <f aca="false">K1011-L1011</f>
        <v>425</v>
      </c>
      <c r="N1011" s="2" t="s">
        <v>19</v>
      </c>
      <c r="O1011" s="2" t="s">
        <v>62</v>
      </c>
    </row>
    <row r="1012" customFormat="false" ht="15" hidden="false" customHeight="false" outlineLevel="0" collapsed="false">
      <c r="A1012" s="2" t="s">
        <v>1066</v>
      </c>
      <c r="B1012" s="3" t="n">
        <v>46078</v>
      </c>
      <c r="C1012" s="2" t="s">
        <v>16</v>
      </c>
      <c r="D1012" s="2" t="s">
        <v>25</v>
      </c>
      <c r="E1012" s="2" t="s">
        <v>57</v>
      </c>
      <c r="F1012" s="4" t="str">
        <f aca="false">INDEX(Products!$B$2:$B$9,MATCH(E1012,Products!$A$2:$A$9,0))</f>
        <v>Edge Gateway</v>
      </c>
      <c r="G1012" s="4" t="str">
        <f aca="false">INDEX(Products!$C$2:$C$9,MATCH(E1012,Products!$A$2:$A$9,0))</f>
        <v>Hardware</v>
      </c>
      <c r="H1012" s="5" t="n">
        <v>10</v>
      </c>
      <c r="I1012" s="6" t="n">
        <f aca="false">INDEX(Products!$D$2:$D$9,MATCH(E1012,Products!$A$2:$A$9,0))</f>
        <v>899</v>
      </c>
      <c r="J1012" s="7" t="n">
        <v>0.15</v>
      </c>
      <c r="K1012" s="8" t="n">
        <f aca="false">H1012*I1012*(1-J1012)</f>
        <v>7641.5</v>
      </c>
      <c r="L1012" s="6" t="n">
        <f aca="false">H1012*INDEX(Products!$E$2:$E$9,MATCH(E1012,Products!$A$2:$A$9,0))</f>
        <v>6120</v>
      </c>
      <c r="M1012" s="8" t="n">
        <f aca="false">K1012-L1012</f>
        <v>1521.5</v>
      </c>
      <c r="N1012" s="2" t="s">
        <v>19</v>
      </c>
      <c r="O1012" s="2" t="s">
        <v>36</v>
      </c>
    </row>
    <row r="1013" customFormat="false" ht="15" hidden="false" customHeight="false" outlineLevel="0" collapsed="false">
      <c r="A1013" s="2" t="s">
        <v>1067</v>
      </c>
      <c r="B1013" s="3" t="n">
        <v>46079</v>
      </c>
      <c r="C1013" s="2" t="s">
        <v>41</v>
      </c>
      <c r="D1013" s="2" t="s">
        <v>42</v>
      </c>
      <c r="E1013" s="2" t="s">
        <v>26</v>
      </c>
      <c r="F1013" s="4" t="str">
        <f aca="false">INDEX(Products!$B$2:$B$9,MATCH(E1013,Products!$A$2:$A$9,0))</f>
        <v>Analytics Basic</v>
      </c>
      <c r="G1013" s="4" t="str">
        <f aca="false">INDEX(Products!$C$2:$C$9,MATCH(E1013,Products!$A$2:$A$9,0))</f>
        <v>Software</v>
      </c>
      <c r="H1013" s="5" t="n">
        <v>2</v>
      </c>
      <c r="I1013" s="6" t="n">
        <f aca="false">INDEX(Products!$D$2:$D$9,MATCH(E1013,Products!$A$2:$A$9,0))</f>
        <v>120</v>
      </c>
      <c r="J1013" s="7" t="n">
        <v>0.15</v>
      </c>
      <c r="K1013" s="8" t="n">
        <f aca="false">H1013*I1013*(1-J1013)</f>
        <v>204</v>
      </c>
      <c r="L1013" s="6" t="n">
        <f aca="false">H1013*INDEX(Products!$E$2:$E$9,MATCH(E1013,Products!$A$2:$A$9,0))</f>
        <v>36</v>
      </c>
      <c r="M1013" s="8" t="n">
        <f aca="false">K1013-L1013</f>
        <v>168</v>
      </c>
      <c r="N1013" s="2" t="s">
        <v>19</v>
      </c>
      <c r="O1013" s="2" t="s">
        <v>52</v>
      </c>
    </row>
    <row r="1014" customFormat="false" ht="15" hidden="false" customHeight="false" outlineLevel="0" collapsed="false">
      <c r="A1014" s="2" t="s">
        <v>1068</v>
      </c>
      <c r="B1014" s="3" t="n">
        <v>46079</v>
      </c>
      <c r="C1014" s="2" t="s">
        <v>30</v>
      </c>
      <c r="D1014" s="2" t="s">
        <v>128</v>
      </c>
      <c r="E1014" s="2" t="s">
        <v>26</v>
      </c>
      <c r="F1014" s="4" t="str">
        <f aca="false">INDEX(Products!$B$2:$B$9,MATCH(E1014,Products!$A$2:$A$9,0))</f>
        <v>Analytics Basic</v>
      </c>
      <c r="G1014" s="4" t="str">
        <f aca="false">INDEX(Products!$C$2:$C$9,MATCH(E1014,Products!$A$2:$A$9,0))</f>
        <v>Software</v>
      </c>
      <c r="H1014" s="5" t="n">
        <v>2</v>
      </c>
      <c r="I1014" s="6" t="n">
        <f aca="false">INDEX(Products!$D$2:$D$9,MATCH(E1014,Products!$A$2:$A$9,0))</f>
        <v>120</v>
      </c>
      <c r="J1014" s="7" t="n">
        <v>0.05</v>
      </c>
      <c r="K1014" s="8" t="n">
        <f aca="false">H1014*I1014*(1-J1014)</f>
        <v>228</v>
      </c>
      <c r="L1014" s="6" t="n">
        <f aca="false">H1014*INDEX(Products!$E$2:$E$9,MATCH(E1014,Products!$A$2:$A$9,0))</f>
        <v>36</v>
      </c>
      <c r="M1014" s="8" t="n">
        <f aca="false">K1014-L1014</f>
        <v>192</v>
      </c>
      <c r="N1014" s="2" t="s">
        <v>28</v>
      </c>
      <c r="O1014" s="2" t="s">
        <v>33</v>
      </c>
    </row>
    <row r="1015" customFormat="false" ht="15" hidden="false" customHeight="false" outlineLevel="0" collapsed="false">
      <c r="A1015" s="2" t="s">
        <v>1069</v>
      </c>
      <c r="B1015" s="3" t="n">
        <v>46079</v>
      </c>
      <c r="C1015" s="2" t="s">
        <v>47</v>
      </c>
      <c r="D1015" s="2" t="s">
        <v>71</v>
      </c>
      <c r="E1015" s="2" t="s">
        <v>26</v>
      </c>
      <c r="F1015" s="4" t="str">
        <f aca="false">INDEX(Products!$B$2:$B$9,MATCH(E1015,Products!$A$2:$A$9,0))</f>
        <v>Analytics Basic</v>
      </c>
      <c r="G1015" s="4" t="str">
        <f aca="false">INDEX(Products!$C$2:$C$9,MATCH(E1015,Products!$A$2:$A$9,0))</f>
        <v>Software</v>
      </c>
      <c r="H1015" s="5" t="n">
        <v>1</v>
      </c>
      <c r="I1015" s="6" t="n">
        <f aca="false">INDEX(Products!$D$2:$D$9,MATCH(E1015,Products!$A$2:$A$9,0))</f>
        <v>120</v>
      </c>
      <c r="J1015" s="7" t="n">
        <v>0</v>
      </c>
      <c r="K1015" s="8" t="n">
        <f aca="false">H1015*I1015*(1-J1015)</f>
        <v>120</v>
      </c>
      <c r="L1015" s="6" t="n">
        <f aca="false">H1015*INDEX(Products!$E$2:$E$9,MATCH(E1015,Products!$A$2:$A$9,0))</f>
        <v>18</v>
      </c>
      <c r="M1015" s="8" t="n">
        <f aca="false">K1015-L1015</f>
        <v>102</v>
      </c>
      <c r="N1015" s="2" t="s">
        <v>28</v>
      </c>
      <c r="O1015" s="2" t="s">
        <v>50</v>
      </c>
    </row>
    <row r="1016" customFormat="false" ht="15" hidden="false" customHeight="false" outlineLevel="0" collapsed="false">
      <c r="A1016" s="2" t="s">
        <v>1070</v>
      </c>
      <c r="B1016" s="3" t="n">
        <v>46079</v>
      </c>
      <c r="C1016" s="2" t="s">
        <v>47</v>
      </c>
      <c r="D1016" s="2" t="s">
        <v>71</v>
      </c>
      <c r="E1016" s="2" t="s">
        <v>26</v>
      </c>
      <c r="F1016" s="4" t="str">
        <f aca="false">INDEX(Products!$B$2:$B$9,MATCH(E1016,Products!$A$2:$A$9,0))</f>
        <v>Analytics Basic</v>
      </c>
      <c r="G1016" s="4" t="str">
        <f aca="false">INDEX(Products!$C$2:$C$9,MATCH(E1016,Products!$A$2:$A$9,0))</f>
        <v>Software</v>
      </c>
      <c r="H1016" s="5" t="n">
        <v>3</v>
      </c>
      <c r="I1016" s="6" t="n">
        <f aca="false">INDEX(Products!$D$2:$D$9,MATCH(E1016,Products!$A$2:$A$9,0))</f>
        <v>120</v>
      </c>
      <c r="J1016" s="7" t="n">
        <v>0</v>
      </c>
      <c r="K1016" s="8" t="n">
        <f aca="false">H1016*I1016*(1-J1016)</f>
        <v>360</v>
      </c>
      <c r="L1016" s="6" t="n">
        <f aca="false">H1016*INDEX(Products!$E$2:$E$9,MATCH(E1016,Products!$A$2:$A$9,0))</f>
        <v>54</v>
      </c>
      <c r="M1016" s="8" t="n">
        <f aca="false">K1016-L1016</f>
        <v>306</v>
      </c>
      <c r="N1016" s="2" t="s">
        <v>38</v>
      </c>
      <c r="O1016" s="2" t="s">
        <v>72</v>
      </c>
    </row>
    <row r="1017" customFormat="false" ht="15" hidden="false" customHeight="false" outlineLevel="0" collapsed="false">
      <c r="A1017" s="2" t="s">
        <v>1071</v>
      </c>
      <c r="B1017" s="3" t="n">
        <v>46080</v>
      </c>
      <c r="C1017" s="2" t="s">
        <v>47</v>
      </c>
      <c r="D1017" s="2" t="s">
        <v>71</v>
      </c>
      <c r="E1017" s="2" t="s">
        <v>26</v>
      </c>
      <c r="F1017" s="4" t="str">
        <f aca="false">INDEX(Products!$B$2:$B$9,MATCH(E1017,Products!$A$2:$A$9,0))</f>
        <v>Analytics Basic</v>
      </c>
      <c r="G1017" s="4" t="str">
        <f aca="false">INDEX(Products!$C$2:$C$9,MATCH(E1017,Products!$A$2:$A$9,0))</f>
        <v>Software</v>
      </c>
      <c r="H1017" s="5" t="n">
        <v>5</v>
      </c>
      <c r="I1017" s="6" t="n">
        <f aca="false">INDEX(Products!$D$2:$D$9,MATCH(E1017,Products!$A$2:$A$9,0))</f>
        <v>120</v>
      </c>
      <c r="J1017" s="7" t="n">
        <v>0.1</v>
      </c>
      <c r="K1017" s="8" t="n">
        <f aca="false">H1017*I1017*(1-J1017)</f>
        <v>540</v>
      </c>
      <c r="L1017" s="6" t="n">
        <f aca="false">H1017*INDEX(Products!$E$2:$E$9,MATCH(E1017,Products!$A$2:$A$9,0))</f>
        <v>90</v>
      </c>
      <c r="M1017" s="8" t="n">
        <f aca="false">K1017-L1017</f>
        <v>450</v>
      </c>
      <c r="N1017" s="2" t="s">
        <v>19</v>
      </c>
      <c r="O1017" s="2" t="s">
        <v>72</v>
      </c>
    </row>
    <row r="1018" customFormat="false" ht="15" hidden="false" customHeight="false" outlineLevel="0" collapsed="false">
      <c r="A1018" s="2" t="s">
        <v>1072</v>
      </c>
      <c r="B1018" s="3" t="n">
        <v>46080</v>
      </c>
      <c r="C1018" s="2" t="s">
        <v>41</v>
      </c>
      <c r="D1018" s="2" t="s">
        <v>42</v>
      </c>
      <c r="E1018" s="2" t="s">
        <v>18</v>
      </c>
      <c r="F1018" s="4" t="str">
        <f aca="false">INDEX(Products!$B$2:$B$9,MATCH(E1018,Products!$A$2:$A$9,0))</f>
        <v>Sensor Hub Pro</v>
      </c>
      <c r="G1018" s="4" t="str">
        <f aca="false">INDEX(Products!$C$2:$C$9,MATCH(E1018,Products!$A$2:$A$9,0))</f>
        <v>Hardware</v>
      </c>
      <c r="H1018" s="5" t="n">
        <v>1</v>
      </c>
      <c r="I1018" s="6" t="n">
        <f aca="false">INDEX(Products!$D$2:$D$9,MATCH(E1018,Products!$A$2:$A$9,0))</f>
        <v>349</v>
      </c>
      <c r="J1018" s="7" t="n">
        <v>0.1</v>
      </c>
      <c r="K1018" s="8" t="n">
        <f aca="false">H1018*I1018*(1-J1018)</f>
        <v>314.1</v>
      </c>
      <c r="L1018" s="6" t="n">
        <f aca="false">H1018*INDEX(Products!$E$2:$E$9,MATCH(E1018,Products!$A$2:$A$9,0))</f>
        <v>201</v>
      </c>
      <c r="M1018" s="8" t="n">
        <f aca="false">K1018-L1018</f>
        <v>113.1</v>
      </c>
      <c r="N1018" s="2" t="s">
        <v>19</v>
      </c>
      <c r="O1018" s="2" t="s">
        <v>43</v>
      </c>
    </row>
    <row r="1019" customFormat="false" ht="15" hidden="false" customHeight="false" outlineLevel="0" collapsed="false">
      <c r="A1019" s="2" t="s">
        <v>1073</v>
      </c>
      <c r="B1019" s="3" t="n">
        <v>46080</v>
      </c>
      <c r="C1019" s="2" t="s">
        <v>16</v>
      </c>
      <c r="D1019" s="2" t="s">
        <v>35</v>
      </c>
      <c r="E1019" s="2" t="s">
        <v>26</v>
      </c>
      <c r="F1019" s="4" t="str">
        <f aca="false">INDEX(Products!$B$2:$B$9,MATCH(E1019,Products!$A$2:$A$9,0))</f>
        <v>Analytics Basic</v>
      </c>
      <c r="G1019" s="4" t="str">
        <f aca="false">INDEX(Products!$C$2:$C$9,MATCH(E1019,Products!$A$2:$A$9,0))</f>
        <v>Software</v>
      </c>
      <c r="H1019" s="5" t="n">
        <v>2</v>
      </c>
      <c r="I1019" s="6" t="n">
        <f aca="false">INDEX(Products!$D$2:$D$9,MATCH(E1019,Products!$A$2:$A$9,0))</f>
        <v>120</v>
      </c>
      <c r="J1019" s="7" t="n">
        <v>0.05</v>
      </c>
      <c r="K1019" s="8" t="n">
        <f aca="false">H1019*I1019*(1-J1019)</f>
        <v>228</v>
      </c>
      <c r="L1019" s="6" t="n">
        <f aca="false">H1019*INDEX(Products!$E$2:$E$9,MATCH(E1019,Products!$A$2:$A$9,0))</f>
        <v>36</v>
      </c>
      <c r="M1019" s="8" t="n">
        <f aca="false">K1019-L1019</f>
        <v>192</v>
      </c>
      <c r="N1019" s="2" t="s">
        <v>38</v>
      </c>
      <c r="O1019" s="2" t="s">
        <v>36</v>
      </c>
    </row>
    <row r="1020" customFormat="false" ht="15" hidden="false" customHeight="false" outlineLevel="0" collapsed="false">
      <c r="A1020" s="2" t="s">
        <v>1074</v>
      </c>
      <c r="B1020" s="3" t="n">
        <v>46080</v>
      </c>
      <c r="C1020" s="2" t="s">
        <v>16</v>
      </c>
      <c r="D1020" s="2" t="s">
        <v>35</v>
      </c>
      <c r="E1020" s="2" t="s">
        <v>23</v>
      </c>
      <c r="F1020" s="4" t="str">
        <f aca="false">INDEX(Products!$B$2:$B$9,MATCH(E1020,Products!$A$2:$A$9,0))</f>
        <v>Sensor Hub S</v>
      </c>
      <c r="G1020" s="4" t="str">
        <f aca="false">INDEX(Products!$C$2:$C$9,MATCH(E1020,Products!$A$2:$A$9,0))</f>
        <v>Hardware</v>
      </c>
      <c r="H1020" s="5" t="n">
        <v>1</v>
      </c>
      <c r="I1020" s="6" t="n">
        <f aca="false">INDEX(Products!$D$2:$D$9,MATCH(E1020,Products!$A$2:$A$9,0))</f>
        <v>189</v>
      </c>
      <c r="J1020" s="7" t="n">
        <v>0</v>
      </c>
      <c r="K1020" s="8" t="n">
        <f aca="false">H1020*I1020*(1-J1020)</f>
        <v>189</v>
      </c>
      <c r="L1020" s="6" t="n">
        <f aca="false">H1020*INDEX(Products!$E$2:$E$9,MATCH(E1020,Products!$A$2:$A$9,0))</f>
        <v>98</v>
      </c>
      <c r="M1020" s="8" t="n">
        <f aca="false">K1020-L1020</f>
        <v>91</v>
      </c>
      <c r="N1020" s="2" t="s">
        <v>28</v>
      </c>
      <c r="O1020" s="2" t="s">
        <v>36</v>
      </c>
    </row>
    <row r="1021" customFormat="false" ht="15" hidden="false" customHeight="false" outlineLevel="0" collapsed="false">
      <c r="A1021" s="2" t="s">
        <v>1075</v>
      </c>
      <c r="B1021" s="3" t="n">
        <v>46081</v>
      </c>
      <c r="C1021" s="2" t="s">
        <v>30</v>
      </c>
      <c r="D1021" s="2" t="s">
        <v>128</v>
      </c>
      <c r="E1021" s="2" t="s">
        <v>26</v>
      </c>
      <c r="F1021" s="4" t="str">
        <f aca="false">INDEX(Products!$B$2:$B$9,MATCH(E1021,Products!$A$2:$A$9,0))</f>
        <v>Analytics Basic</v>
      </c>
      <c r="G1021" s="4" t="str">
        <f aca="false">INDEX(Products!$C$2:$C$9,MATCH(E1021,Products!$A$2:$A$9,0))</f>
        <v>Software</v>
      </c>
      <c r="H1021" s="5" t="n">
        <v>1</v>
      </c>
      <c r="I1021" s="6" t="n">
        <f aca="false">INDEX(Products!$D$2:$D$9,MATCH(E1021,Products!$A$2:$A$9,0))</f>
        <v>120</v>
      </c>
      <c r="J1021" s="7" t="n">
        <v>0</v>
      </c>
      <c r="K1021" s="8" t="n">
        <f aca="false">H1021*I1021*(1-J1021)</f>
        <v>120</v>
      </c>
      <c r="L1021" s="6" t="n">
        <f aca="false">H1021*INDEX(Products!$E$2:$E$9,MATCH(E1021,Products!$A$2:$A$9,0))</f>
        <v>18</v>
      </c>
      <c r="M1021" s="8" t="n">
        <f aca="false">K1021-L1021</f>
        <v>102</v>
      </c>
      <c r="N1021" s="2" t="s">
        <v>28</v>
      </c>
      <c r="O1021" s="2" t="s">
        <v>64</v>
      </c>
    </row>
    <row r="1022" customFormat="false" ht="15" hidden="false" customHeight="false" outlineLevel="0" collapsed="false">
      <c r="A1022" s="2" t="s">
        <v>1076</v>
      </c>
      <c r="B1022" s="3" t="n">
        <v>46082</v>
      </c>
      <c r="C1022" s="2" t="s">
        <v>47</v>
      </c>
      <c r="D1022" s="2" t="s">
        <v>157</v>
      </c>
      <c r="E1022" s="2" t="s">
        <v>57</v>
      </c>
      <c r="F1022" s="4" t="str">
        <f aca="false">INDEX(Products!$B$2:$B$9,MATCH(E1022,Products!$A$2:$A$9,0))</f>
        <v>Edge Gateway</v>
      </c>
      <c r="G1022" s="4" t="str">
        <f aca="false">INDEX(Products!$C$2:$C$9,MATCH(E1022,Products!$A$2:$A$9,0))</f>
        <v>Hardware</v>
      </c>
      <c r="H1022" s="5" t="n">
        <v>1</v>
      </c>
      <c r="I1022" s="6" t="n">
        <f aca="false">INDEX(Products!$D$2:$D$9,MATCH(E1022,Products!$A$2:$A$9,0))</f>
        <v>899</v>
      </c>
      <c r="J1022" s="7" t="n">
        <v>0.15</v>
      </c>
      <c r="K1022" s="8" t="n">
        <f aca="false">H1022*I1022*(1-J1022)</f>
        <v>764.15</v>
      </c>
      <c r="L1022" s="6" t="n">
        <f aca="false">H1022*INDEX(Products!$E$2:$E$9,MATCH(E1022,Products!$A$2:$A$9,0))</f>
        <v>612</v>
      </c>
      <c r="M1022" s="8" t="n">
        <f aca="false">K1022-L1022</f>
        <v>152.15</v>
      </c>
      <c r="N1022" s="2" t="s">
        <v>19</v>
      </c>
      <c r="O1022" s="2" t="s">
        <v>72</v>
      </c>
    </row>
    <row r="1023" customFormat="false" ht="15" hidden="false" customHeight="false" outlineLevel="0" collapsed="false">
      <c r="A1023" s="2" t="s">
        <v>1077</v>
      </c>
      <c r="B1023" s="3" t="n">
        <v>46083</v>
      </c>
      <c r="C1023" s="2" t="s">
        <v>30</v>
      </c>
      <c r="D1023" s="2" t="s">
        <v>31</v>
      </c>
      <c r="E1023" s="2" t="s">
        <v>68</v>
      </c>
      <c r="F1023" s="4" t="str">
        <f aca="false">INDEX(Products!$B$2:$B$9,MATCH(E1023,Products!$A$2:$A$9,0))</f>
        <v>Premium Support</v>
      </c>
      <c r="G1023" s="4" t="str">
        <f aca="false">INDEX(Products!$C$2:$C$9,MATCH(E1023,Products!$A$2:$A$9,0))</f>
        <v>Services</v>
      </c>
      <c r="H1023" s="5" t="n">
        <v>3</v>
      </c>
      <c r="I1023" s="6" t="n">
        <f aca="false">INDEX(Products!$D$2:$D$9,MATCH(E1023,Products!$A$2:$A$9,0))</f>
        <v>600</v>
      </c>
      <c r="J1023" s="7" t="n">
        <v>0.2</v>
      </c>
      <c r="K1023" s="8" t="n">
        <f aca="false">H1023*I1023*(1-J1023)</f>
        <v>1440</v>
      </c>
      <c r="L1023" s="6" t="n">
        <f aca="false">H1023*INDEX(Products!$E$2:$E$9,MATCH(E1023,Products!$A$2:$A$9,0))</f>
        <v>1185</v>
      </c>
      <c r="M1023" s="8" t="n">
        <f aca="false">K1023-L1023</f>
        <v>255</v>
      </c>
      <c r="N1023" s="2" t="s">
        <v>19</v>
      </c>
      <c r="O1023" s="2" t="s">
        <v>33</v>
      </c>
    </row>
    <row r="1024" customFormat="false" ht="15" hidden="false" customHeight="false" outlineLevel="0" collapsed="false">
      <c r="A1024" s="2" t="s">
        <v>1078</v>
      </c>
      <c r="B1024" s="3" t="n">
        <v>46083</v>
      </c>
      <c r="C1024" s="2" t="s">
        <v>30</v>
      </c>
      <c r="D1024" s="2" t="s">
        <v>128</v>
      </c>
      <c r="E1024" s="2" t="s">
        <v>49</v>
      </c>
      <c r="F1024" s="4" t="str">
        <f aca="false">INDEX(Products!$B$2:$B$9,MATCH(E1024,Products!$A$2:$A$9,0))</f>
        <v>Mounting Kit</v>
      </c>
      <c r="G1024" s="4" t="str">
        <f aca="false">INDEX(Products!$C$2:$C$9,MATCH(E1024,Products!$A$2:$A$9,0))</f>
        <v>Accessories</v>
      </c>
      <c r="H1024" s="5" t="n">
        <v>1</v>
      </c>
      <c r="I1024" s="6" t="n">
        <f aca="false">INDEX(Products!$D$2:$D$9,MATCH(E1024,Products!$A$2:$A$9,0))</f>
        <v>39</v>
      </c>
      <c r="J1024" s="7" t="n">
        <v>0.15</v>
      </c>
      <c r="K1024" s="8" t="n">
        <f aca="false">H1024*I1024*(1-J1024)</f>
        <v>33.15</v>
      </c>
      <c r="L1024" s="6" t="n">
        <f aca="false">H1024*INDEX(Products!$E$2:$E$9,MATCH(E1024,Products!$A$2:$A$9,0))</f>
        <v>31.5</v>
      </c>
      <c r="M1024" s="8" t="n">
        <f aca="false">K1024-L1024</f>
        <v>1.65</v>
      </c>
      <c r="N1024" s="2" t="s">
        <v>38</v>
      </c>
      <c r="O1024" s="2" t="s">
        <v>64</v>
      </c>
    </row>
    <row r="1025" customFormat="false" ht="15" hidden="false" customHeight="false" outlineLevel="0" collapsed="false">
      <c r="A1025" s="2" t="s">
        <v>1079</v>
      </c>
      <c r="B1025" s="3" t="n">
        <v>46083</v>
      </c>
      <c r="C1025" s="2" t="s">
        <v>30</v>
      </c>
      <c r="D1025" s="2" t="s">
        <v>31</v>
      </c>
      <c r="E1025" s="2" t="s">
        <v>23</v>
      </c>
      <c r="F1025" s="4" t="str">
        <f aca="false">INDEX(Products!$B$2:$B$9,MATCH(E1025,Products!$A$2:$A$9,0))</f>
        <v>Sensor Hub S</v>
      </c>
      <c r="G1025" s="4" t="str">
        <f aca="false">INDEX(Products!$C$2:$C$9,MATCH(E1025,Products!$A$2:$A$9,0))</f>
        <v>Hardware</v>
      </c>
      <c r="H1025" s="5" t="n">
        <v>1</v>
      </c>
      <c r="I1025" s="6" t="n">
        <f aca="false">INDEX(Products!$D$2:$D$9,MATCH(E1025,Products!$A$2:$A$9,0))</f>
        <v>189</v>
      </c>
      <c r="J1025" s="7" t="n">
        <v>0</v>
      </c>
      <c r="K1025" s="8" t="n">
        <f aca="false">H1025*I1025*(1-J1025)</f>
        <v>189</v>
      </c>
      <c r="L1025" s="6" t="n">
        <f aca="false">H1025*INDEX(Products!$E$2:$E$9,MATCH(E1025,Products!$A$2:$A$9,0))</f>
        <v>98</v>
      </c>
      <c r="M1025" s="8" t="n">
        <f aca="false">K1025-L1025</f>
        <v>91</v>
      </c>
      <c r="N1025" s="2" t="s">
        <v>28</v>
      </c>
      <c r="O1025" s="2" t="s">
        <v>33</v>
      </c>
    </row>
    <row r="1026" customFormat="false" ht="15" hidden="false" customHeight="false" outlineLevel="0" collapsed="false">
      <c r="A1026" s="2" t="s">
        <v>1080</v>
      </c>
      <c r="B1026" s="3" t="n">
        <v>46083</v>
      </c>
      <c r="C1026" s="2" t="s">
        <v>16</v>
      </c>
      <c r="D1026" s="2" t="s">
        <v>17</v>
      </c>
      <c r="E1026" s="2" t="s">
        <v>18</v>
      </c>
      <c r="F1026" s="4" t="str">
        <f aca="false">INDEX(Products!$B$2:$B$9,MATCH(E1026,Products!$A$2:$A$9,0))</f>
        <v>Sensor Hub Pro</v>
      </c>
      <c r="G1026" s="4" t="str">
        <f aca="false">INDEX(Products!$C$2:$C$9,MATCH(E1026,Products!$A$2:$A$9,0))</f>
        <v>Hardware</v>
      </c>
      <c r="H1026" s="5" t="n">
        <v>8</v>
      </c>
      <c r="I1026" s="6" t="n">
        <f aca="false">INDEX(Products!$D$2:$D$9,MATCH(E1026,Products!$A$2:$A$9,0))</f>
        <v>349</v>
      </c>
      <c r="J1026" s="7" t="n">
        <v>0.15</v>
      </c>
      <c r="K1026" s="8" t="n">
        <f aca="false">H1026*I1026*(1-J1026)</f>
        <v>2373.2</v>
      </c>
      <c r="L1026" s="6" t="n">
        <f aca="false">H1026*INDEX(Products!$E$2:$E$9,MATCH(E1026,Products!$A$2:$A$9,0))</f>
        <v>1608</v>
      </c>
      <c r="M1026" s="8" t="n">
        <f aca="false">K1026-L1026</f>
        <v>765.2</v>
      </c>
      <c r="N1026" s="2" t="s">
        <v>19</v>
      </c>
      <c r="O1026" s="2" t="s">
        <v>36</v>
      </c>
    </row>
    <row r="1027" customFormat="false" ht="15" hidden="false" customHeight="false" outlineLevel="0" collapsed="false">
      <c r="A1027" s="2" t="s">
        <v>1081</v>
      </c>
      <c r="B1027" s="3" t="n">
        <v>46084</v>
      </c>
      <c r="C1027" s="2" t="s">
        <v>16</v>
      </c>
      <c r="D1027" s="2" t="s">
        <v>17</v>
      </c>
      <c r="E1027" s="2" t="s">
        <v>68</v>
      </c>
      <c r="F1027" s="4" t="str">
        <f aca="false">INDEX(Products!$B$2:$B$9,MATCH(E1027,Products!$A$2:$A$9,0))</f>
        <v>Premium Support</v>
      </c>
      <c r="G1027" s="4" t="str">
        <f aca="false">INDEX(Products!$C$2:$C$9,MATCH(E1027,Products!$A$2:$A$9,0))</f>
        <v>Services</v>
      </c>
      <c r="H1027" s="5" t="n">
        <v>2</v>
      </c>
      <c r="I1027" s="6" t="n">
        <f aca="false">INDEX(Products!$D$2:$D$9,MATCH(E1027,Products!$A$2:$A$9,0))</f>
        <v>600</v>
      </c>
      <c r="J1027" s="7" t="n">
        <v>0.15</v>
      </c>
      <c r="K1027" s="8" t="n">
        <f aca="false">H1027*I1027*(1-J1027)</f>
        <v>1020</v>
      </c>
      <c r="L1027" s="6" t="n">
        <f aca="false">H1027*INDEX(Products!$E$2:$E$9,MATCH(E1027,Products!$A$2:$A$9,0))</f>
        <v>790</v>
      </c>
      <c r="M1027" s="8" t="n">
        <f aca="false">K1027-L1027</f>
        <v>230</v>
      </c>
      <c r="N1027" s="2" t="s">
        <v>38</v>
      </c>
      <c r="O1027" s="2" t="s">
        <v>36</v>
      </c>
    </row>
    <row r="1028" customFormat="false" ht="15" hidden="false" customHeight="false" outlineLevel="0" collapsed="false">
      <c r="A1028" s="2" t="s">
        <v>1082</v>
      </c>
      <c r="B1028" s="3" t="n">
        <v>46084</v>
      </c>
      <c r="C1028" s="2" t="s">
        <v>30</v>
      </c>
      <c r="D1028" s="2" t="s">
        <v>77</v>
      </c>
      <c r="E1028" s="2" t="s">
        <v>26</v>
      </c>
      <c r="F1028" s="4" t="str">
        <f aca="false">INDEX(Products!$B$2:$B$9,MATCH(E1028,Products!$A$2:$A$9,0))</f>
        <v>Analytics Basic</v>
      </c>
      <c r="G1028" s="4" t="str">
        <f aca="false">INDEX(Products!$C$2:$C$9,MATCH(E1028,Products!$A$2:$A$9,0))</f>
        <v>Software</v>
      </c>
      <c r="H1028" s="5" t="n">
        <v>1</v>
      </c>
      <c r="I1028" s="6" t="n">
        <f aca="false">INDEX(Products!$D$2:$D$9,MATCH(E1028,Products!$A$2:$A$9,0))</f>
        <v>120</v>
      </c>
      <c r="J1028" s="7" t="n">
        <v>0.1</v>
      </c>
      <c r="K1028" s="8" t="n">
        <f aca="false">H1028*I1028*(1-J1028)</f>
        <v>108</v>
      </c>
      <c r="L1028" s="6" t="n">
        <f aca="false">H1028*INDEX(Products!$E$2:$E$9,MATCH(E1028,Products!$A$2:$A$9,0))</f>
        <v>18</v>
      </c>
      <c r="M1028" s="8" t="n">
        <f aca="false">K1028-L1028</f>
        <v>90</v>
      </c>
      <c r="N1028" s="2" t="s">
        <v>19</v>
      </c>
      <c r="O1028" s="2" t="s">
        <v>33</v>
      </c>
    </row>
    <row r="1029" customFormat="false" ht="15" hidden="false" customHeight="false" outlineLevel="0" collapsed="false">
      <c r="A1029" s="2" t="s">
        <v>1083</v>
      </c>
      <c r="B1029" s="3" t="n">
        <v>46084</v>
      </c>
      <c r="C1029" s="2" t="s">
        <v>41</v>
      </c>
      <c r="D1029" s="2" t="s">
        <v>66</v>
      </c>
      <c r="E1029" s="2" t="s">
        <v>26</v>
      </c>
      <c r="F1029" s="4" t="str">
        <f aca="false">INDEX(Products!$B$2:$B$9,MATCH(E1029,Products!$A$2:$A$9,0))</f>
        <v>Analytics Basic</v>
      </c>
      <c r="G1029" s="4" t="str">
        <f aca="false">INDEX(Products!$C$2:$C$9,MATCH(E1029,Products!$A$2:$A$9,0))</f>
        <v>Software</v>
      </c>
      <c r="H1029" s="5" t="n">
        <v>5</v>
      </c>
      <c r="I1029" s="6" t="n">
        <f aca="false">INDEX(Products!$D$2:$D$9,MATCH(E1029,Products!$A$2:$A$9,0))</f>
        <v>120</v>
      </c>
      <c r="J1029" s="7" t="n">
        <v>0.1</v>
      </c>
      <c r="K1029" s="8" t="n">
        <f aca="false">H1029*I1029*(1-J1029)</f>
        <v>540</v>
      </c>
      <c r="L1029" s="6" t="n">
        <f aca="false">H1029*INDEX(Products!$E$2:$E$9,MATCH(E1029,Products!$A$2:$A$9,0))</f>
        <v>90</v>
      </c>
      <c r="M1029" s="8" t="n">
        <f aca="false">K1029-L1029</f>
        <v>450</v>
      </c>
      <c r="N1029" s="2" t="s">
        <v>19</v>
      </c>
      <c r="O1029" s="2" t="s">
        <v>43</v>
      </c>
    </row>
    <row r="1030" customFormat="false" ht="15" hidden="false" customHeight="false" outlineLevel="0" collapsed="false">
      <c r="A1030" s="2" t="s">
        <v>1084</v>
      </c>
      <c r="B1030" s="3" t="n">
        <v>46085</v>
      </c>
      <c r="C1030" s="2" t="s">
        <v>16</v>
      </c>
      <c r="D1030" s="2" t="s">
        <v>35</v>
      </c>
      <c r="E1030" s="2" t="s">
        <v>26</v>
      </c>
      <c r="F1030" s="4" t="str">
        <f aca="false">INDEX(Products!$B$2:$B$9,MATCH(E1030,Products!$A$2:$A$9,0))</f>
        <v>Analytics Basic</v>
      </c>
      <c r="G1030" s="4" t="str">
        <f aca="false">INDEX(Products!$C$2:$C$9,MATCH(E1030,Products!$A$2:$A$9,0))</f>
        <v>Software</v>
      </c>
      <c r="H1030" s="5" t="n">
        <v>2</v>
      </c>
      <c r="I1030" s="6" t="n">
        <f aca="false">INDEX(Products!$D$2:$D$9,MATCH(E1030,Products!$A$2:$A$9,0))</f>
        <v>120</v>
      </c>
      <c r="J1030" s="7" t="n">
        <v>0.15</v>
      </c>
      <c r="K1030" s="8" t="n">
        <f aca="false">H1030*I1030*(1-J1030)</f>
        <v>204</v>
      </c>
      <c r="L1030" s="6" t="n">
        <f aca="false">H1030*INDEX(Products!$E$2:$E$9,MATCH(E1030,Products!$A$2:$A$9,0))</f>
        <v>36</v>
      </c>
      <c r="M1030" s="8" t="n">
        <f aca="false">K1030-L1030</f>
        <v>168</v>
      </c>
      <c r="N1030" s="2" t="s">
        <v>38</v>
      </c>
      <c r="O1030" s="2" t="s">
        <v>36</v>
      </c>
    </row>
    <row r="1031" customFormat="false" ht="15" hidden="false" customHeight="false" outlineLevel="0" collapsed="false">
      <c r="A1031" s="2" t="s">
        <v>1085</v>
      </c>
      <c r="B1031" s="3" t="n">
        <v>46085</v>
      </c>
      <c r="C1031" s="2" t="s">
        <v>47</v>
      </c>
      <c r="D1031" s="2" t="s">
        <v>55</v>
      </c>
      <c r="E1031" s="2" t="s">
        <v>61</v>
      </c>
      <c r="F1031" s="4" t="str">
        <f aca="false">INDEX(Products!$B$2:$B$9,MATCH(E1031,Products!$A$2:$A$9,0))</f>
        <v>Install Service</v>
      </c>
      <c r="G1031" s="4" t="str">
        <f aca="false">INDEX(Products!$C$2:$C$9,MATCH(E1031,Products!$A$2:$A$9,0))</f>
        <v>Services</v>
      </c>
      <c r="H1031" s="5" t="n">
        <v>5</v>
      </c>
      <c r="I1031" s="6" t="n">
        <f aca="false">INDEX(Products!$D$2:$D$9,MATCH(E1031,Products!$A$2:$A$9,0))</f>
        <v>450</v>
      </c>
      <c r="J1031" s="7" t="n">
        <v>0.1</v>
      </c>
      <c r="K1031" s="8" t="n">
        <f aca="false">H1031*I1031*(1-J1031)</f>
        <v>2025</v>
      </c>
      <c r="L1031" s="6" t="n">
        <f aca="false">H1031*INDEX(Products!$E$2:$E$9,MATCH(E1031,Products!$A$2:$A$9,0))</f>
        <v>1550</v>
      </c>
      <c r="M1031" s="8" t="n">
        <f aca="false">K1031-L1031</f>
        <v>475</v>
      </c>
      <c r="N1031" s="2" t="s">
        <v>19</v>
      </c>
      <c r="O1031" s="2" t="s">
        <v>50</v>
      </c>
    </row>
    <row r="1032" customFormat="false" ht="15" hidden="false" customHeight="false" outlineLevel="0" collapsed="false">
      <c r="A1032" s="2" t="s">
        <v>1086</v>
      </c>
      <c r="B1032" s="3" t="n">
        <v>46085</v>
      </c>
      <c r="C1032" s="2" t="s">
        <v>47</v>
      </c>
      <c r="D1032" s="2" t="s">
        <v>55</v>
      </c>
      <c r="E1032" s="2" t="s">
        <v>49</v>
      </c>
      <c r="F1032" s="4" t="str">
        <f aca="false">INDEX(Products!$B$2:$B$9,MATCH(E1032,Products!$A$2:$A$9,0))</f>
        <v>Mounting Kit</v>
      </c>
      <c r="G1032" s="4" t="str">
        <f aca="false">INDEX(Products!$C$2:$C$9,MATCH(E1032,Products!$A$2:$A$9,0))</f>
        <v>Accessories</v>
      </c>
      <c r="H1032" s="5" t="n">
        <v>2</v>
      </c>
      <c r="I1032" s="6" t="n">
        <f aca="false">INDEX(Products!$D$2:$D$9,MATCH(E1032,Products!$A$2:$A$9,0))</f>
        <v>39</v>
      </c>
      <c r="J1032" s="7" t="n">
        <v>0.05</v>
      </c>
      <c r="K1032" s="8" t="n">
        <f aca="false">H1032*I1032*(1-J1032)</f>
        <v>74.1</v>
      </c>
      <c r="L1032" s="6" t="n">
        <f aca="false">H1032*INDEX(Products!$E$2:$E$9,MATCH(E1032,Products!$A$2:$A$9,0))</f>
        <v>63</v>
      </c>
      <c r="M1032" s="8" t="n">
        <f aca="false">K1032-L1032</f>
        <v>11.1</v>
      </c>
      <c r="N1032" s="2" t="s">
        <v>28</v>
      </c>
      <c r="O1032" s="2" t="s">
        <v>72</v>
      </c>
    </row>
    <row r="1033" customFormat="false" ht="15" hidden="false" customHeight="false" outlineLevel="0" collapsed="false">
      <c r="A1033" s="2" t="s">
        <v>1087</v>
      </c>
      <c r="B1033" s="3" t="n">
        <v>46086</v>
      </c>
      <c r="C1033" s="2" t="s">
        <v>41</v>
      </c>
      <c r="D1033" s="2" t="s">
        <v>66</v>
      </c>
      <c r="E1033" s="2" t="s">
        <v>61</v>
      </c>
      <c r="F1033" s="4" t="str">
        <f aca="false">INDEX(Products!$B$2:$B$9,MATCH(E1033,Products!$A$2:$A$9,0))</f>
        <v>Install Service</v>
      </c>
      <c r="G1033" s="4" t="str">
        <f aca="false">INDEX(Products!$C$2:$C$9,MATCH(E1033,Products!$A$2:$A$9,0))</f>
        <v>Services</v>
      </c>
      <c r="H1033" s="5" t="n">
        <v>5</v>
      </c>
      <c r="I1033" s="6" t="n">
        <f aca="false">INDEX(Products!$D$2:$D$9,MATCH(E1033,Products!$A$2:$A$9,0))</f>
        <v>450</v>
      </c>
      <c r="J1033" s="7" t="n">
        <v>0</v>
      </c>
      <c r="K1033" s="8" t="n">
        <f aca="false">H1033*I1033*(1-J1033)</f>
        <v>2250</v>
      </c>
      <c r="L1033" s="6" t="n">
        <f aca="false">H1033*INDEX(Products!$E$2:$E$9,MATCH(E1033,Products!$A$2:$A$9,0))</f>
        <v>1550</v>
      </c>
      <c r="M1033" s="8" t="n">
        <f aca="false">K1033-L1033</f>
        <v>700</v>
      </c>
      <c r="N1033" s="2" t="s">
        <v>38</v>
      </c>
      <c r="O1033" s="2" t="s">
        <v>52</v>
      </c>
    </row>
    <row r="1034" customFormat="false" ht="15" hidden="false" customHeight="false" outlineLevel="0" collapsed="false">
      <c r="A1034" s="2" t="s">
        <v>1088</v>
      </c>
      <c r="B1034" s="3" t="n">
        <v>46086</v>
      </c>
      <c r="C1034" s="2" t="s">
        <v>30</v>
      </c>
      <c r="D1034" s="2" t="s">
        <v>77</v>
      </c>
      <c r="E1034" s="2" t="s">
        <v>32</v>
      </c>
      <c r="F1034" s="4" t="str">
        <f aca="false">INDEX(Products!$B$2:$B$9,MATCH(E1034,Products!$A$2:$A$9,0))</f>
        <v>Analytics Plus</v>
      </c>
      <c r="G1034" s="4" t="str">
        <f aca="false">INDEX(Products!$C$2:$C$9,MATCH(E1034,Products!$A$2:$A$9,0))</f>
        <v>Software</v>
      </c>
      <c r="H1034" s="5" t="n">
        <v>1</v>
      </c>
      <c r="I1034" s="6" t="n">
        <f aca="false">INDEX(Products!$D$2:$D$9,MATCH(E1034,Products!$A$2:$A$9,0))</f>
        <v>290</v>
      </c>
      <c r="J1034" s="7" t="n">
        <v>0.1</v>
      </c>
      <c r="K1034" s="8" t="n">
        <f aca="false">H1034*I1034*(1-J1034)</f>
        <v>261</v>
      </c>
      <c r="L1034" s="6" t="n">
        <f aca="false">H1034*INDEX(Products!$E$2:$E$9,MATCH(E1034,Products!$A$2:$A$9,0))</f>
        <v>41</v>
      </c>
      <c r="M1034" s="8" t="n">
        <f aca="false">K1034-L1034</f>
        <v>220</v>
      </c>
      <c r="N1034" s="2" t="s">
        <v>19</v>
      </c>
      <c r="O1034" s="2" t="s">
        <v>64</v>
      </c>
    </row>
    <row r="1035" customFormat="false" ht="15" hidden="false" customHeight="false" outlineLevel="0" collapsed="false">
      <c r="A1035" s="2" t="s">
        <v>1089</v>
      </c>
      <c r="B1035" s="3" t="n">
        <v>46086</v>
      </c>
      <c r="C1035" s="2" t="s">
        <v>30</v>
      </c>
      <c r="D1035" s="2" t="s">
        <v>77</v>
      </c>
      <c r="E1035" s="2" t="s">
        <v>49</v>
      </c>
      <c r="F1035" s="4" t="str">
        <f aca="false">INDEX(Products!$B$2:$B$9,MATCH(E1035,Products!$A$2:$A$9,0))</f>
        <v>Mounting Kit</v>
      </c>
      <c r="G1035" s="4" t="str">
        <f aca="false">INDEX(Products!$C$2:$C$9,MATCH(E1035,Products!$A$2:$A$9,0))</f>
        <v>Accessories</v>
      </c>
      <c r="H1035" s="5" t="n">
        <v>12</v>
      </c>
      <c r="I1035" s="6" t="n">
        <f aca="false">INDEX(Products!$D$2:$D$9,MATCH(E1035,Products!$A$2:$A$9,0))</f>
        <v>39</v>
      </c>
      <c r="J1035" s="7" t="n">
        <v>0.1</v>
      </c>
      <c r="K1035" s="8" t="n">
        <f aca="false">H1035*I1035*(1-J1035)</f>
        <v>421.2</v>
      </c>
      <c r="L1035" s="6" t="n">
        <f aca="false">H1035*INDEX(Products!$E$2:$E$9,MATCH(E1035,Products!$A$2:$A$9,0))</f>
        <v>378</v>
      </c>
      <c r="M1035" s="8" t="n">
        <f aca="false">K1035-L1035</f>
        <v>43.2</v>
      </c>
      <c r="N1035" s="2" t="s">
        <v>38</v>
      </c>
      <c r="O1035" s="2" t="s">
        <v>33</v>
      </c>
    </row>
    <row r="1036" customFormat="false" ht="15" hidden="false" customHeight="false" outlineLevel="0" collapsed="false">
      <c r="A1036" s="2" t="s">
        <v>1090</v>
      </c>
      <c r="B1036" s="3" t="n">
        <v>46086</v>
      </c>
      <c r="C1036" s="2" t="s">
        <v>41</v>
      </c>
      <c r="D1036" s="2" t="s">
        <v>66</v>
      </c>
      <c r="E1036" s="2" t="s">
        <v>49</v>
      </c>
      <c r="F1036" s="4" t="str">
        <f aca="false">INDEX(Products!$B$2:$B$9,MATCH(E1036,Products!$A$2:$A$9,0))</f>
        <v>Mounting Kit</v>
      </c>
      <c r="G1036" s="4" t="str">
        <f aca="false">INDEX(Products!$C$2:$C$9,MATCH(E1036,Products!$A$2:$A$9,0))</f>
        <v>Accessories</v>
      </c>
      <c r="H1036" s="5" t="n">
        <v>12</v>
      </c>
      <c r="I1036" s="6" t="n">
        <f aca="false">INDEX(Products!$D$2:$D$9,MATCH(E1036,Products!$A$2:$A$9,0))</f>
        <v>39</v>
      </c>
      <c r="J1036" s="7" t="n">
        <v>0.2</v>
      </c>
      <c r="K1036" s="8" t="n">
        <f aca="false">H1036*I1036*(1-J1036)</f>
        <v>374.4</v>
      </c>
      <c r="L1036" s="6" t="n">
        <f aca="false">H1036*INDEX(Products!$E$2:$E$9,MATCH(E1036,Products!$A$2:$A$9,0))</f>
        <v>378</v>
      </c>
      <c r="M1036" s="8" t="n">
        <f aca="false">K1036-L1036</f>
        <v>-3.59999999999997</v>
      </c>
      <c r="N1036" s="2" t="s">
        <v>19</v>
      </c>
      <c r="O1036" s="2" t="s">
        <v>52</v>
      </c>
    </row>
    <row r="1037" customFormat="false" ht="15" hidden="false" customHeight="false" outlineLevel="0" collapsed="false">
      <c r="A1037" s="2" t="s">
        <v>1091</v>
      </c>
      <c r="B1037" s="3" t="n">
        <v>46087</v>
      </c>
      <c r="C1037" s="2" t="s">
        <v>30</v>
      </c>
      <c r="D1037" s="2" t="s">
        <v>31</v>
      </c>
      <c r="E1037" s="2" t="s">
        <v>61</v>
      </c>
      <c r="F1037" s="4" t="str">
        <f aca="false">INDEX(Products!$B$2:$B$9,MATCH(E1037,Products!$A$2:$A$9,0))</f>
        <v>Install Service</v>
      </c>
      <c r="G1037" s="4" t="str">
        <f aca="false">INDEX(Products!$C$2:$C$9,MATCH(E1037,Products!$A$2:$A$9,0))</f>
        <v>Services</v>
      </c>
      <c r="H1037" s="5" t="n">
        <v>2</v>
      </c>
      <c r="I1037" s="6" t="n">
        <f aca="false">INDEX(Products!$D$2:$D$9,MATCH(E1037,Products!$A$2:$A$9,0))</f>
        <v>450</v>
      </c>
      <c r="J1037" s="7" t="n">
        <v>0.1</v>
      </c>
      <c r="K1037" s="8" t="n">
        <f aca="false">H1037*I1037*(1-J1037)</f>
        <v>810</v>
      </c>
      <c r="L1037" s="6" t="n">
        <f aca="false">H1037*INDEX(Products!$E$2:$E$9,MATCH(E1037,Products!$A$2:$A$9,0))</f>
        <v>620</v>
      </c>
      <c r="M1037" s="8" t="n">
        <f aca="false">K1037-L1037</f>
        <v>190</v>
      </c>
      <c r="N1037" s="2" t="s">
        <v>19</v>
      </c>
      <c r="O1037" s="2" t="s">
        <v>64</v>
      </c>
    </row>
    <row r="1038" customFormat="false" ht="15" hidden="false" customHeight="false" outlineLevel="0" collapsed="false">
      <c r="A1038" s="2" t="s">
        <v>1092</v>
      </c>
      <c r="B1038" s="3" t="n">
        <v>46087</v>
      </c>
      <c r="C1038" s="2" t="s">
        <v>47</v>
      </c>
      <c r="D1038" s="2" t="s">
        <v>157</v>
      </c>
      <c r="E1038" s="2" t="s">
        <v>57</v>
      </c>
      <c r="F1038" s="4" t="str">
        <f aca="false">INDEX(Products!$B$2:$B$9,MATCH(E1038,Products!$A$2:$A$9,0))</f>
        <v>Edge Gateway</v>
      </c>
      <c r="G1038" s="4" t="str">
        <f aca="false">INDEX(Products!$C$2:$C$9,MATCH(E1038,Products!$A$2:$A$9,0))</f>
        <v>Hardware</v>
      </c>
      <c r="H1038" s="5" t="n">
        <v>2</v>
      </c>
      <c r="I1038" s="6" t="n">
        <f aca="false">INDEX(Products!$D$2:$D$9,MATCH(E1038,Products!$A$2:$A$9,0))</f>
        <v>899</v>
      </c>
      <c r="J1038" s="7" t="n">
        <v>0.15</v>
      </c>
      <c r="K1038" s="8" t="n">
        <f aca="false">H1038*I1038*(1-J1038)</f>
        <v>1528.3</v>
      </c>
      <c r="L1038" s="6" t="n">
        <f aca="false">H1038*INDEX(Products!$E$2:$E$9,MATCH(E1038,Products!$A$2:$A$9,0))</f>
        <v>1224</v>
      </c>
      <c r="M1038" s="8" t="n">
        <f aca="false">K1038-L1038</f>
        <v>304.3</v>
      </c>
      <c r="N1038" s="2" t="s">
        <v>19</v>
      </c>
      <c r="O1038" s="2" t="s">
        <v>72</v>
      </c>
    </row>
    <row r="1039" customFormat="false" ht="15" hidden="false" customHeight="false" outlineLevel="0" collapsed="false">
      <c r="A1039" s="2" t="s">
        <v>1093</v>
      </c>
      <c r="B1039" s="3" t="n">
        <v>46087</v>
      </c>
      <c r="C1039" s="2" t="s">
        <v>16</v>
      </c>
      <c r="D1039" s="2" t="s">
        <v>22</v>
      </c>
      <c r="E1039" s="2" t="s">
        <v>26</v>
      </c>
      <c r="F1039" s="4" t="str">
        <f aca="false">INDEX(Products!$B$2:$B$9,MATCH(E1039,Products!$A$2:$A$9,0))</f>
        <v>Analytics Basic</v>
      </c>
      <c r="G1039" s="4" t="str">
        <f aca="false">INDEX(Products!$C$2:$C$9,MATCH(E1039,Products!$A$2:$A$9,0))</f>
        <v>Software</v>
      </c>
      <c r="H1039" s="5" t="n">
        <v>3</v>
      </c>
      <c r="I1039" s="6" t="n">
        <f aca="false">INDEX(Products!$D$2:$D$9,MATCH(E1039,Products!$A$2:$A$9,0))</f>
        <v>120</v>
      </c>
      <c r="J1039" s="7" t="n">
        <v>0.1</v>
      </c>
      <c r="K1039" s="8" t="n">
        <f aca="false">H1039*I1039*(1-J1039)</f>
        <v>324</v>
      </c>
      <c r="L1039" s="6" t="n">
        <f aca="false">H1039*INDEX(Products!$E$2:$E$9,MATCH(E1039,Products!$A$2:$A$9,0))</f>
        <v>54</v>
      </c>
      <c r="M1039" s="8" t="n">
        <f aca="false">K1039-L1039</f>
        <v>270</v>
      </c>
      <c r="N1039" s="2" t="s">
        <v>28</v>
      </c>
      <c r="O1039" s="2" t="s">
        <v>36</v>
      </c>
    </row>
    <row r="1040" customFormat="false" ht="15" hidden="false" customHeight="false" outlineLevel="0" collapsed="false">
      <c r="A1040" s="2" t="s">
        <v>1094</v>
      </c>
      <c r="B1040" s="3" t="n">
        <v>46089</v>
      </c>
      <c r="C1040" s="2" t="s">
        <v>41</v>
      </c>
      <c r="D1040" s="2" t="s">
        <v>66</v>
      </c>
      <c r="E1040" s="2" t="s">
        <v>61</v>
      </c>
      <c r="F1040" s="4" t="str">
        <f aca="false">INDEX(Products!$B$2:$B$9,MATCH(E1040,Products!$A$2:$A$9,0))</f>
        <v>Install Service</v>
      </c>
      <c r="G1040" s="4" t="str">
        <f aca="false">INDEX(Products!$C$2:$C$9,MATCH(E1040,Products!$A$2:$A$9,0))</f>
        <v>Services</v>
      </c>
      <c r="H1040" s="5" t="n">
        <v>3</v>
      </c>
      <c r="I1040" s="6" t="n">
        <f aca="false">INDEX(Products!$D$2:$D$9,MATCH(E1040,Products!$A$2:$A$9,0))</f>
        <v>450</v>
      </c>
      <c r="J1040" s="7" t="n">
        <v>0</v>
      </c>
      <c r="K1040" s="8" t="n">
        <f aca="false">H1040*I1040*(1-J1040)</f>
        <v>1350</v>
      </c>
      <c r="L1040" s="6" t="n">
        <f aca="false">H1040*INDEX(Products!$E$2:$E$9,MATCH(E1040,Products!$A$2:$A$9,0))</f>
        <v>930</v>
      </c>
      <c r="M1040" s="8" t="n">
        <f aca="false">K1040-L1040</f>
        <v>420</v>
      </c>
      <c r="N1040" s="2" t="s">
        <v>28</v>
      </c>
      <c r="O1040" s="2" t="s">
        <v>52</v>
      </c>
    </row>
    <row r="1041" customFormat="false" ht="15" hidden="false" customHeight="false" outlineLevel="0" collapsed="false">
      <c r="A1041" s="2" t="s">
        <v>1095</v>
      </c>
      <c r="B1041" s="3" t="n">
        <v>46090</v>
      </c>
      <c r="C1041" s="2" t="s">
        <v>16</v>
      </c>
      <c r="D1041" s="2" t="s">
        <v>17</v>
      </c>
      <c r="E1041" s="2" t="s">
        <v>32</v>
      </c>
      <c r="F1041" s="4" t="str">
        <f aca="false">INDEX(Products!$B$2:$B$9,MATCH(E1041,Products!$A$2:$A$9,0))</f>
        <v>Analytics Plus</v>
      </c>
      <c r="G1041" s="4" t="str">
        <f aca="false">INDEX(Products!$C$2:$C$9,MATCH(E1041,Products!$A$2:$A$9,0))</f>
        <v>Software</v>
      </c>
      <c r="H1041" s="5" t="n">
        <v>1</v>
      </c>
      <c r="I1041" s="6" t="n">
        <f aca="false">INDEX(Products!$D$2:$D$9,MATCH(E1041,Products!$A$2:$A$9,0))</f>
        <v>290</v>
      </c>
      <c r="J1041" s="7" t="n">
        <v>0.05</v>
      </c>
      <c r="K1041" s="8" t="n">
        <f aca="false">H1041*I1041*(1-J1041)</f>
        <v>275.5</v>
      </c>
      <c r="L1041" s="6" t="n">
        <f aca="false">H1041*INDEX(Products!$E$2:$E$9,MATCH(E1041,Products!$A$2:$A$9,0))</f>
        <v>41</v>
      </c>
      <c r="M1041" s="8" t="n">
        <f aca="false">K1041-L1041</f>
        <v>234.5</v>
      </c>
      <c r="N1041" s="2" t="s">
        <v>28</v>
      </c>
      <c r="O1041" s="2" t="s">
        <v>20</v>
      </c>
    </row>
    <row r="1042" customFormat="false" ht="15" hidden="false" customHeight="false" outlineLevel="0" collapsed="false">
      <c r="A1042" s="2" t="s">
        <v>1096</v>
      </c>
      <c r="B1042" s="3" t="n">
        <v>46090</v>
      </c>
      <c r="C1042" s="2" t="s">
        <v>47</v>
      </c>
      <c r="D1042" s="2" t="s">
        <v>48</v>
      </c>
      <c r="E1042" s="2" t="s">
        <v>18</v>
      </c>
      <c r="F1042" s="4" t="str">
        <f aca="false">INDEX(Products!$B$2:$B$9,MATCH(E1042,Products!$A$2:$A$9,0))</f>
        <v>Sensor Hub Pro</v>
      </c>
      <c r="G1042" s="4" t="str">
        <f aca="false">INDEX(Products!$C$2:$C$9,MATCH(E1042,Products!$A$2:$A$9,0))</f>
        <v>Hardware</v>
      </c>
      <c r="H1042" s="5" t="n">
        <v>12</v>
      </c>
      <c r="I1042" s="6" t="n">
        <f aca="false">INDEX(Products!$D$2:$D$9,MATCH(E1042,Products!$A$2:$A$9,0))</f>
        <v>349</v>
      </c>
      <c r="J1042" s="7" t="n">
        <v>0.2</v>
      </c>
      <c r="K1042" s="8" t="n">
        <f aca="false">H1042*I1042*(1-J1042)</f>
        <v>3350.4</v>
      </c>
      <c r="L1042" s="6" t="n">
        <f aca="false">H1042*INDEX(Products!$E$2:$E$9,MATCH(E1042,Products!$A$2:$A$9,0))</f>
        <v>2412</v>
      </c>
      <c r="M1042" s="8" t="n">
        <f aca="false">K1042-L1042</f>
        <v>938.4</v>
      </c>
      <c r="N1042" s="2" t="s">
        <v>19</v>
      </c>
      <c r="O1042" s="2" t="s">
        <v>50</v>
      </c>
    </row>
    <row r="1043" customFormat="false" ht="15" hidden="false" customHeight="false" outlineLevel="0" collapsed="false">
      <c r="A1043" s="2" t="s">
        <v>1097</v>
      </c>
      <c r="B1043" s="3" t="n">
        <v>46090</v>
      </c>
      <c r="C1043" s="2" t="s">
        <v>16</v>
      </c>
      <c r="D1043" s="2" t="s">
        <v>25</v>
      </c>
      <c r="E1043" s="2" t="s">
        <v>32</v>
      </c>
      <c r="F1043" s="4" t="str">
        <f aca="false">INDEX(Products!$B$2:$B$9,MATCH(E1043,Products!$A$2:$A$9,0))</f>
        <v>Analytics Plus</v>
      </c>
      <c r="G1043" s="4" t="str">
        <f aca="false">INDEX(Products!$C$2:$C$9,MATCH(E1043,Products!$A$2:$A$9,0))</f>
        <v>Software</v>
      </c>
      <c r="H1043" s="5" t="n">
        <v>5</v>
      </c>
      <c r="I1043" s="6" t="n">
        <f aca="false">INDEX(Products!$D$2:$D$9,MATCH(E1043,Products!$A$2:$A$9,0))</f>
        <v>290</v>
      </c>
      <c r="J1043" s="7" t="n">
        <v>0.1</v>
      </c>
      <c r="K1043" s="8" t="n">
        <f aca="false">H1043*I1043*(1-J1043)</f>
        <v>1305</v>
      </c>
      <c r="L1043" s="6" t="n">
        <f aca="false">H1043*INDEX(Products!$E$2:$E$9,MATCH(E1043,Products!$A$2:$A$9,0))</f>
        <v>205</v>
      </c>
      <c r="M1043" s="8" t="n">
        <f aca="false">K1043-L1043</f>
        <v>1100</v>
      </c>
      <c r="N1043" s="2" t="s">
        <v>19</v>
      </c>
      <c r="O1043" s="2" t="s">
        <v>36</v>
      </c>
    </row>
    <row r="1044" customFormat="false" ht="15" hidden="false" customHeight="false" outlineLevel="0" collapsed="false">
      <c r="A1044" s="2" t="s">
        <v>1098</v>
      </c>
      <c r="B1044" s="3" t="n">
        <v>46091</v>
      </c>
      <c r="C1044" s="2" t="s">
        <v>16</v>
      </c>
      <c r="D1044" s="2" t="s">
        <v>25</v>
      </c>
      <c r="E1044" s="2" t="s">
        <v>26</v>
      </c>
      <c r="F1044" s="4" t="str">
        <f aca="false">INDEX(Products!$B$2:$B$9,MATCH(E1044,Products!$A$2:$A$9,0))</f>
        <v>Analytics Basic</v>
      </c>
      <c r="G1044" s="4" t="str">
        <f aca="false">INDEX(Products!$C$2:$C$9,MATCH(E1044,Products!$A$2:$A$9,0))</f>
        <v>Software</v>
      </c>
      <c r="H1044" s="5" t="n">
        <v>1</v>
      </c>
      <c r="I1044" s="6" t="n">
        <f aca="false">INDEX(Products!$D$2:$D$9,MATCH(E1044,Products!$A$2:$A$9,0))</f>
        <v>120</v>
      </c>
      <c r="J1044" s="7" t="n">
        <v>0.1</v>
      </c>
      <c r="K1044" s="8" t="n">
        <f aca="false">H1044*I1044*(1-J1044)</f>
        <v>108</v>
      </c>
      <c r="L1044" s="6" t="n">
        <f aca="false">H1044*INDEX(Products!$E$2:$E$9,MATCH(E1044,Products!$A$2:$A$9,0))</f>
        <v>18</v>
      </c>
      <c r="M1044" s="8" t="n">
        <f aca="false">K1044-L1044</f>
        <v>90</v>
      </c>
      <c r="N1044" s="2" t="s">
        <v>19</v>
      </c>
      <c r="O1044" s="2" t="s">
        <v>36</v>
      </c>
    </row>
    <row r="1045" customFormat="false" ht="15" hidden="false" customHeight="false" outlineLevel="0" collapsed="false">
      <c r="A1045" s="2" t="s">
        <v>1099</v>
      </c>
      <c r="B1045" s="3" t="n">
        <v>46091</v>
      </c>
      <c r="C1045" s="2" t="s">
        <v>16</v>
      </c>
      <c r="D1045" s="2" t="s">
        <v>25</v>
      </c>
      <c r="E1045" s="2" t="s">
        <v>26</v>
      </c>
      <c r="F1045" s="4" t="str">
        <f aca="false">INDEX(Products!$B$2:$B$9,MATCH(E1045,Products!$A$2:$A$9,0))</f>
        <v>Analytics Basic</v>
      </c>
      <c r="G1045" s="4" t="str">
        <f aca="false">INDEX(Products!$C$2:$C$9,MATCH(E1045,Products!$A$2:$A$9,0))</f>
        <v>Software</v>
      </c>
      <c r="H1045" s="5" t="n">
        <v>2</v>
      </c>
      <c r="I1045" s="6" t="n">
        <f aca="false">INDEX(Products!$D$2:$D$9,MATCH(E1045,Products!$A$2:$A$9,0))</f>
        <v>120</v>
      </c>
      <c r="J1045" s="7" t="n">
        <v>0</v>
      </c>
      <c r="K1045" s="8" t="n">
        <f aca="false">H1045*I1045*(1-J1045)</f>
        <v>240</v>
      </c>
      <c r="L1045" s="6" t="n">
        <f aca="false">H1045*INDEX(Products!$E$2:$E$9,MATCH(E1045,Products!$A$2:$A$9,0))</f>
        <v>36</v>
      </c>
      <c r="M1045" s="8" t="n">
        <f aca="false">K1045-L1045</f>
        <v>204</v>
      </c>
      <c r="N1045" s="2" t="s">
        <v>28</v>
      </c>
      <c r="O1045" s="2" t="s">
        <v>36</v>
      </c>
    </row>
    <row r="1046" customFormat="false" ht="15" hidden="false" customHeight="false" outlineLevel="0" collapsed="false">
      <c r="A1046" s="2" t="s">
        <v>1100</v>
      </c>
      <c r="B1046" s="3" t="n">
        <v>46091</v>
      </c>
      <c r="C1046" s="2" t="s">
        <v>47</v>
      </c>
      <c r="D1046" s="2" t="s">
        <v>71</v>
      </c>
      <c r="E1046" s="2" t="s">
        <v>26</v>
      </c>
      <c r="F1046" s="4" t="str">
        <f aca="false">INDEX(Products!$B$2:$B$9,MATCH(E1046,Products!$A$2:$A$9,0))</f>
        <v>Analytics Basic</v>
      </c>
      <c r="G1046" s="4" t="str">
        <f aca="false">INDEX(Products!$C$2:$C$9,MATCH(E1046,Products!$A$2:$A$9,0))</f>
        <v>Software</v>
      </c>
      <c r="H1046" s="5" t="n">
        <v>1</v>
      </c>
      <c r="I1046" s="6" t="n">
        <f aca="false">INDEX(Products!$D$2:$D$9,MATCH(E1046,Products!$A$2:$A$9,0))</f>
        <v>120</v>
      </c>
      <c r="J1046" s="7" t="n">
        <v>0.15</v>
      </c>
      <c r="K1046" s="8" t="n">
        <f aca="false">H1046*I1046*(1-J1046)</f>
        <v>102</v>
      </c>
      <c r="L1046" s="6" t="n">
        <f aca="false">H1046*INDEX(Products!$E$2:$E$9,MATCH(E1046,Products!$A$2:$A$9,0))</f>
        <v>18</v>
      </c>
      <c r="M1046" s="8" t="n">
        <f aca="false">K1046-L1046</f>
        <v>84</v>
      </c>
      <c r="N1046" s="2" t="s">
        <v>19</v>
      </c>
      <c r="O1046" s="2" t="s">
        <v>50</v>
      </c>
    </row>
    <row r="1047" customFormat="false" ht="15" hidden="false" customHeight="false" outlineLevel="0" collapsed="false">
      <c r="A1047" s="2" t="s">
        <v>1101</v>
      </c>
      <c r="B1047" s="3" t="n">
        <v>46092</v>
      </c>
      <c r="C1047" s="2" t="s">
        <v>59</v>
      </c>
      <c r="D1047" s="2" t="s">
        <v>101</v>
      </c>
      <c r="E1047" s="2" t="s">
        <v>32</v>
      </c>
      <c r="F1047" s="4" t="str">
        <f aca="false">INDEX(Products!$B$2:$B$9,MATCH(E1047,Products!$A$2:$A$9,0))</f>
        <v>Analytics Plus</v>
      </c>
      <c r="G1047" s="4" t="str">
        <f aca="false">INDEX(Products!$C$2:$C$9,MATCH(E1047,Products!$A$2:$A$9,0))</f>
        <v>Software</v>
      </c>
      <c r="H1047" s="5" t="n">
        <v>2</v>
      </c>
      <c r="I1047" s="6" t="n">
        <f aca="false">INDEX(Products!$D$2:$D$9,MATCH(E1047,Products!$A$2:$A$9,0))</f>
        <v>290</v>
      </c>
      <c r="J1047" s="7" t="n">
        <v>0.15</v>
      </c>
      <c r="K1047" s="8" t="n">
        <f aca="false">H1047*I1047*(1-J1047)</f>
        <v>493</v>
      </c>
      <c r="L1047" s="6" t="n">
        <f aca="false">H1047*INDEX(Products!$E$2:$E$9,MATCH(E1047,Products!$A$2:$A$9,0))</f>
        <v>82</v>
      </c>
      <c r="M1047" s="8" t="n">
        <f aca="false">K1047-L1047</f>
        <v>411</v>
      </c>
      <c r="N1047" s="2" t="s">
        <v>19</v>
      </c>
      <c r="O1047" s="2" t="s">
        <v>62</v>
      </c>
    </row>
    <row r="1048" customFormat="false" ht="15" hidden="false" customHeight="false" outlineLevel="0" collapsed="false">
      <c r="A1048" s="2" t="s">
        <v>1102</v>
      </c>
      <c r="B1048" s="3" t="n">
        <v>46092</v>
      </c>
      <c r="C1048" s="2" t="s">
        <v>47</v>
      </c>
      <c r="D1048" s="2" t="s">
        <v>55</v>
      </c>
      <c r="E1048" s="2" t="s">
        <v>26</v>
      </c>
      <c r="F1048" s="4" t="str">
        <f aca="false">INDEX(Products!$B$2:$B$9,MATCH(E1048,Products!$A$2:$A$9,0))</f>
        <v>Analytics Basic</v>
      </c>
      <c r="G1048" s="4" t="str">
        <f aca="false">INDEX(Products!$C$2:$C$9,MATCH(E1048,Products!$A$2:$A$9,0))</f>
        <v>Software</v>
      </c>
      <c r="H1048" s="5" t="n">
        <v>2</v>
      </c>
      <c r="I1048" s="6" t="n">
        <f aca="false">INDEX(Products!$D$2:$D$9,MATCH(E1048,Products!$A$2:$A$9,0))</f>
        <v>120</v>
      </c>
      <c r="J1048" s="7" t="n">
        <v>0.1</v>
      </c>
      <c r="K1048" s="8" t="n">
        <f aca="false">H1048*I1048*(1-J1048)</f>
        <v>216</v>
      </c>
      <c r="L1048" s="6" t="n">
        <f aca="false">H1048*INDEX(Products!$E$2:$E$9,MATCH(E1048,Products!$A$2:$A$9,0))</f>
        <v>36</v>
      </c>
      <c r="M1048" s="8" t="n">
        <f aca="false">K1048-L1048</f>
        <v>180</v>
      </c>
      <c r="N1048" s="2" t="s">
        <v>28</v>
      </c>
      <c r="O1048" s="2" t="s">
        <v>72</v>
      </c>
    </row>
    <row r="1049" customFormat="false" ht="15" hidden="false" customHeight="false" outlineLevel="0" collapsed="false">
      <c r="A1049" s="2" t="s">
        <v>1103</v>
      </c>
      <c r="B1049" s="3" t="n">
        <v>46093</v>
      </c>
      <c r="C1049" s="2" t="s">
        <v>47</v>
      </c>
      <c r="D1049" s="2" t="s">
        <v>55</v>
      </c>
      <c r="E1049" s="2" t="s">
        <v>23</v>
      </c>
      <c r="F1049" s="4" t="str">
        <f aca="false">INDEX(Products!$B$2:$B$9,MATCH(E1049,Products!$A$2:$A$9,0))</f>
        <v>Sensor Hub S</v>
      </c>
      <c r="G1049" s="4" t="str">
        <f aca="false">INDEX(Products!$C$2:$C$9,MATCH(E1049,Products!$A$2:$A$9,0))</f>
        <v>Hardware</v>
      </c>
      <c r="H1049" s="5" t="n">
        <v>2</v>
      </c>
      <c r="I1049" s="6" t="n">
        <f aca="false">INDEX(Products!$D$2:$D$9,MATCH(E1049,Products!$A$2:$A$9,0))</f>
        <v>189</v>
      </c>
      <c r="J1049" s="7" t="n">
        <v>0</v>
      </c>
      <c r="K1049" s="8" t="n">
        <f aca="false">H1049*I1049*(1-J1049)</f>
        <v>378</v>
      </c>
      <c r="L1049" s="6" t="n">
        <f aca="false">H1049*INDEX(Products!$E$2:$E$9,MATCH(E1049,Products!$A$2:$A$9,0))</f>
        <v>196</v>
      </c>
      <c r="M1049" s="8" t="n">
        <f aca="false">K1049-L1049</f>
        <v>182</v>
      </c>
      <c r="N1049" s="2" t="s">
        <v>38</v>
      </c>
      <c r="O1049" s="2" t="s">
        <v>50</v>
      </c>
    </row>
    <row r="1050" customFormat="false" ht="15" hidden="false" customHeight="false" outlineLevel="0" collapsed="false">
      <c r="A1050" s="2" t="s">
        <v>1104</v>
      </c>
      <c r="B1050" s="3" t="n">
        <v>46093</v>
      </c>
      <c r="C1050" s="2" t="s">
        <v>16</v>
      </c>
      <c r="D1050" s="2" t="s">
        <v>17</v>
      </c>
      <c r="E1050" s="2" t="s">
        <v>57</v>
      </c>
      <c r="F1050" s="4" t="str">
        <f aca="false">INDEX(Products!$B$2:$B$9,MATCH(E1050,Products!$A$2:$A$9,0))</f>
        <v>Edge Gateway</v>
      </c>
      <c r="G1050" s="4" t="str">
        <f aca="false">INDEX(Products!$C$2:$C$9,MATCH(E1050,Products!$A$2:$A$9,0))</f>
        <v>Hardware</v>
      </c>
      <c r="H1050" s="5" t="n">
        <v>3</v>
      </c>
      <c r="I1050" s="6" t="n">
        <f aca="false">INDEX(Products!$D$2:$D$9,MATCH(E1050,Products!$A$2:$A$9,0))</f>
        <v>899</v>
      </c>
      <c r="J1050" s="7" t="n">
        <v>0</v>
      </c>
      <c r="K1050" s="8" t="n">
        <f aca="false">H1050*I1050*(1-J1050)</f>
        <v>2697</v>
      </c>
      <c r="L1050" s="6" t="n">
        <f aca="false">H1050*INDEX(Products!$E$2:$E$9,MATCH(E1050,Products!$A$2:$A$9,0))</f>
        <v>1836</v>
      </c>
      <c r="M1050" s="8" t="n">
        <f aca="false">K1050-L1050</f>
        <v>861</v>
      </c>
      <c r="N1050" s="2" t="s">
        <v>28</v>
      </c>
      <c r="O1050" s="2" t="s">
        <v>20</v>
      </c>
    </row>
    <row r="1051" customFormat="false" ht="15" hidden="false" customHeight="false" outlineLevel="0" collapsed="false">
      <c r="A1051" s="2" t="s">
        <v>1105</v>
      </c>
      <c r="B1051" s="3" t="n">
        <v>46093</v>
      </c>
      <c r="C1051" s="2" t="s">
        <v>47</v>
      </c>
      <c r="D1051" s="2" t="s">
        <v>48</v>
      </c>
      <c r="E1051" s="2" t="s">
        <v>57</v>
      </c>
      <c r="F1051" s="4" t="str">
        <f aca="false">INDEX(Products!$B$2:$B$9,MATCH(E1051,Products!$A$2:$A$9,0))</f>
        <v>Edge Gateway</v>
      </c>
      <c r="G1051" s="4" t="str">
        <f aca="false">INDEX(Products!$C$2:$C$9,MATCH(E1051,Products!$A$2:$A$9,0))</f>
        <v>Hardware</v>
      </c>
      <c r="H1051" s="5" t="n">
        <v>3</v>
      </c>
      <c r="I1051" s="6" t="n">
        <f aca="false">INDEX(Products!$D$2:$D$9,MATCH(E1051,Products!$A$2:$A$9,0))</f>
        <v>899</v>
      </c>
      <c r="J1051" s="7" t="n">
        <v>0.15</v>
      </c>
      <c r="K1051" s="8" t="n">
        <f aca="false">H1051*I1051*(1-J1051)</f>
        <v>2292.45</v>
      </c>
      <c r="L1051" s="6" t="n">
        <f aca="false">H1051*INDEX(Products!$E$2:$E$9,MATCH(E1051,Products!$A$2:$A$9,0))</f>
        <v>1836</v>
      </c>
      <c r="M1051" s="8" t="n">
        <f aca="false">K1051-L1051</f>
        <v>456.45</v>
      </c>
      <c r="N1051" s="2" t="s">
        <v>28</v>
      </c>
      <c r="O1051" s="2" t="s">
        <v>72</v>
      </c>
    </row>
    <row r="1052" customFormat="false" ht="15" hidden="false" customHeight="false" outlineLevel="0" collapsed="false">
      <c r="A1052" s="2" t="s">
        <v>1106</v>
      </c>
      <c r="B1052" s="3" t="n">
        <v>46094</v>
      </c>
      <c r="C1052" s="2" t="s">
        <v>59</v>
      </c>
      <c r="D1052" s="2" t="s">
        <v>60</v>
      </c>
      <c r="E1052" s="2" t="s">
        <v>18</v>
      </c>
      <c r="F1052" s="4" t="str">
        <f aca="false">INDEX(Products!$B$2:$B$9,MATCH(E1052,Products!$A$2:$A$9,0))</f>
        <v>Sensor Hub Pro</v>
      </c>
      <c r="G1052" s="4" t="str">
        <f aca="false">INDEX(Products!$C$2:$C$9,MATCH(E1052,Products!$A$2:$A$9,0))</f>
        <v>Hardware</v>
      </c>
      <c r="H1052" s="5" t="n">
        <v>3</v>
      </c>
      <c r="I1052" s="6" t="n">
        <f aca="false">INDEX(Products!$D$2:$D$9,MATCH(E1052,Products!$A$2:$A$9,0))</f>
        <v>349</v>
      </c>
      <c r="J1052" s="7" t="n">
        <v>0.15</v>
      </c>
      <c r="K1052" s="8" t="n">
        <f aca="false">H1052*I1052*(1-J1052)</f>
        <v>889.95</v>
      </c>
      <c r="L1052" s="6" t="n">
        <f aca="false">H1052*INDEX(Products!$E$2:$E$9,MATCH(E1052,Products!$A$2:$A$9,0))</f>
        <v>603</v>
      </c>
      <c r="M1052" s="8" t="n">
        <f aca="false">K1052-L1052</f>
        <v>286.95</v>
      </c>
      <c r="N1052" s="2" t="s">
        <v>28</v>
      </c>
      <c r="O1052" s="2" t="s">
        <v>62</v>
      </c>
    </row>
    <row r="1053" customFormat="false" ht="15" hidden="false" customHeight="false" outlineLevel="0" collapsed="false">
      <c r="A1053" s="2" t="s">
        <v>1107</v>
      </c>
      <c r="B1053" s="3" t="n">
        <v>46094</v>
      </c>
      <c r="C1053" s="2" t="s">
        <v>16</v>
      </c>
      <c r="D1053" s="2" t="s">
        <v>25</v>
      </c>
      <c r="E1053" s="2" t="s">
        <v>26</v>
      </c>
      <c r="F1053" s="4" t="str">
        <f aca="false">INDEX(Products!$B$2:$B$9,MATCH(E1053,Products!$A$2:$A$9,0))</f>
        <v>Analytics Basic</v>
      </c>
      <c r="G1053" s="4" t="str">
        <f aca="false">INDEX(Products!$C$2:$C$9,MATCH(E1053,Products!$A$2:$A$9,0))</f>
        <v>Software</v>
      </c>
      <c r="H1053" s="5" t="n">
        <v>1</v>
      </c>
      <c r="I1053" s="6" t="n">
        <f aca="false">INDEX(Products!$D$2:$D$9,MATCH(E1053,Products!$A$2:$A$9,0))</f>
        <v>120</v>
      </c>
      <c r="J1053" s="7" t="n">
        <v>0.05</v>
      </c>
      <c r="K1053" s="8" t="n">
        <f aca="false">H1053*I1053*(1-J1053)</f>
        <v>114</v>
      </c>
      <c r="L1053" s="6" t="n">
        <f aca="false">H1053*INDEX(Products!$E$2:$E$9,MATCH(E1053,Products!$A$2:$A$9,0))</f>
        <v>18</v>
      </c>
      <c r="M1053" s="8" t="n">
        <f aca="false">K1053-L1053</f>
        <v>96</v>
      </c>
      <c r="N1053" s="2" t="s">
        <v>38</v>
      </c>
      <c r="O1053" s="2" t="s">
        <v>20</v>
      </c>
    </row>
    <row r="1054" customFormat="false" ht="15" hidden="false" customHeight="false" outlineLevel="0" collapsed="false">
      <c r="A1054" s="2" t="s">
        <v>1108</v>
      </c>
      <c r="B1054" s="3" t="n">
        <v>46094</v>
      </c>
      <c r="C1054" s="2" t="s">
        <v>41</v>
      </c>
      <c r="D1054" s="2" t="s">
        <v>42</v>
      </c>
      <c r="E1054" s="2" t="s">
        <v>49</v>
      </c>
      <c r="F1054" s="4" t="str">
        <f aca="false">INDEX(Products!$B$2:$B$9,MATCH(E1054,Products!$A$2:$A$9,0))</f>
        <v>Mounting Kit</v>
      </c>
      <c r="G1054" s="4" t="str">
        <f aca="false">INDEX(Products!$C$2:$C$9,MATCH(E1054,Products!$A$2:$A$9,0))</f>
        <v>Accessories</v>
      </c>
      <c r="H1054" s="5" t="n">
        <v>5</v>
      </c>
      <c r="I1054" s="6" t="n">
        <f aca="false">INDEX(Products!$D$2:$D$9,MATCH(E1054,Products!$A$2:$A$9,0))</f>
        <v>39</v>
      </c>
      <c r="J1054" s="7" t="n">
        <v>0.1</v>
      </c>
      <c r="K1054" s="8" t="n">
        <f aca="false">H1054*I1054*(1-J1054)</f>
        <v>175.5</v>
      </c>
      <c r="L1054" s="6" t="n">
        <f aca="false">H1054*INDEX(Products!$E$2:$E$9,MATCH(E1054,Products!$A$2:$A$9,0))</f>
        <v>157.5</v>
      </c>
      <c r="M1054" s="8" t="n">
        <f aca="false">K1054-L1054</f>
        <v>18</v>
      </c>
      <c r="N1054" s="2" t="s">
        <v>28</v>
      </c>
      <c r="O1054" s="2" t="s">
        <v>43</v>
      </c>
    </row>
    <row r="1055" customFormat="false" ht="15" hidden="false" customHeight="false" outlineLevel="0" collapsed="false">
      <c r="A1055" s="2" t="s">
        <v>1109</v>
      </c>
      <c r="B1055" s="3" t="n">
        <v>46094</v>
      </c>
      <c r="C1055" s="2" t="s">
        <v>47</v>
      </c>
      <c r="D1055" s="2" t="s">
        <v>157</v>
      </c>
      <c r="E1055" s="2" t="s">
        <v>26</v>
      </c>
      <c r="F1055" s="4" t="str">
        <f aca="false">INDEX(Products!$B$2:$B$9,MATCH(E1055,Products!$A$2:$A$9,0))</f>
        <v>Analytics Basic</v>
      </c>
      <c r="G1055" s="4" t="str">
        <f aca="false">INDEX(Products!$C$2:$C$9,MATCH(E1055,Products!$A$2:$A$9,0))</f>
        <v>Software</v>
      </c>
      <c r="H1055" s="5" t="n">
        <v>2</v>
      </c>
      <c r="I1055" s="6" t="n">
        <f aca="false">INDEX(Products!$D$2:$D$9,MATCH(E1055,Products!$A$2:$A$9,0))</f>
        <v>120</v>
      </c>
      <c r="J1055" s="7" t="n">
        <v>0.1</v>
      </c>
      <c r="K1055" s="8" t="n">
        <f aca="false">H1055*I1055*(1-J1055)</f>
        <v>216</v>
      </c>
      <c r="L1055" s="6" t="n">
        <f aca="false">H1055*INDEX(Products!$E$2:$E$9,MATCH(E1055,Products!$A$2:$A$9,0))</f>
        <v>36</v>
      </c>
      <c r="M1055" s="8" t="n">
        <f aca="false">K1055-L1055</f>
        <v>180</v>
      </c>
      <c r="N1055" s="2" t="s">
        <v>19</v>
      </c>
      <c r="O1055" s="2" t="s">
        <v>72</v>
      </c>
    </row>
    <row r="1056" customFormat="false" ht="15" hidden="false" customHeight="false" outlineLevel="0" collapsed="false">
      <c r="A1056" s="2" t="s">
        <v>1110</v>
      </c>
      <c r="B1056" s="3" t="n">
        <v>46096</v>
      </c>
      <c r="C1056" s="2" t="s">
        <v>47</v>
      </c>
      <c r="D1056" s="2" t="s">
        <v>157</v>
      </c>
      <c r="E1056" s="2" t="s">
        <v>26</v>
      </c>
      <c r="F1056" s="4" t="str">
        <f aca="false">INDEX(Products!$B$2:$B$9,MATCH(E1056,Products!$A$2:$A$9,0))</f>
        <v>Analytics Basic</v>
      </c>
      <c r="G1056" s="4" t="str">
        <f aca="false">INDEX(Products!$C$2:$C$9,MATCH(E1056,Products!$A$2:$A$9,0))</f>
        <v>Software</v>
      </c>
      <c r="H1056" s="5" t="n">
        <v>5</v>
      </c>
      <c r="I1056" s="6" t="n">
        <f aca="false">INDEX(Products!$D$2:$D$9,MATCH(E1056,Products!$A$2:$A$9,0))</f>
        <v>120</v>
      </c>
      <c r="J1056" s="7" t="n">
        <v>0.1</v>
      </c>
      <c r="K1056" s="8" t="n">
        <f aca="false">H1056*I1056*(1-J1056)</f>
        <v>540</v>
      </c>
      <c r="L1056" s="6" t="n">
        <f aca="false">H1056*INDEX(Products!$E$2:$E$9,MATCH(E1056,Products!$A$2:$A$9,0))</f>
        <v>90</v>
      </c>
      <c r="M1056" s="8" t="n">
        <f aca="false">K1056-L1056</f>
        <v>450</v>
      </c>
      <c r="N1056" s="2" t="s">
        <v>38</v>
      </c>
      <c r="O1056" s="2" t="s">
        <v>72</v>
      </c>
    </row>
    <row r="1057" customFormat="false" ht="15" hidden="false" customHeight="false" outlineLevel="0" collapsed="false">
      <c r="A1057" s="2" t="s">
        <v>1111</v>
      </c>
      <c r="B1057" s="3" t="n">
        <v>46097</v>
      </c>
      <c r="C1057" s="2" t="s">
        <v>30</v>
      </c>
      <c r="D1057" s="2" t="s">
        <v>128</v>
      </c>
      <c r="E1057" s="2" t="s">
        <v>32</v>
      </c>
      <c r="F1057" s="4" t="str">
        <f aca="false">INDEX(Products!$B$2:$B$9,MATCH(E1057,Products!$A$2:$A$9,0))</f>
        <v>Analytics Plus</v>
      </c>
      <c r="G1057" s="4" t="str">
        <f aca="false">INDEX(Products!$C$2:$C$9,MATCH(E1057,Products!$A$2:$A$9,0))</f>
        <v>Software</v>
      </c>
      <c r="H1057" s="5" t="n">
        <v>3</v>
      </c>
      <c r="I1057" s="6" t="n">
        <f aca="false">INDEX(Products!$D$2:$D$9,MATCH(E1057,Products!$A$2:$A$9,0))</f>
        <v>290</v>
      </c>
      <c r="J1057" s="7" t="n">
        <v>0.25</v>
      </c>
      <c r="K1057" s="8" t="n">
        <f aca="false">H1057*I1057*(1-J1057)</f>
        <v>652.5</v>
      </c>
      <c r="L1057" s="6" t="n">
        <f aca="false">H1057*INDEX(Products!$E$2:$E$9,MATCH(E1057,Products!$A$2:$A$9,0))</f>
        <v>123</v>
      </c>
      <c r="M1057" s="8" t="n">
        <f aca="false">K1057-L1057</f>
        <v>529.5</v>
      </c>
      <c r="N1057" s="2" t="s">
        <v>19</v>
      </c>
      <c r="O1057" s="2" t="s">
        <v>33</v>
      </c>
    </row>
    <row r="1058" customFormat="false" ht="15" hidden="false" customHeight="false" outlineLevel="0" collapsed="false">
      <c r="A1058" s="2" t="s">
        <v>1112</v>
      </c>
      <c r="B1058" s="3" t="n">
        <v>46097</v>
      </c>
      <c r="C1058" s="2" t="s">
        <v>41</v>
      </c>
      <c r="D1058" s="2" t="s">
        <v>42</v>
      </c>
      <c r="E1058" s="2" t="s">
        <v>23</v>
      </c>
      <c r="F1058" s="4" t="str">
        <f aca="false">INDEX(Products!$B$2:$B$9,MATCH(E1058,Products!$A$2:$A$9,0))</f>
        <v>Sensor Hub S</v>
      </c>
      <c r="G1058" s="4" t="str">
        <f aca="false">INDEX(Products!$C$2:$C$9,MATCH(E1058,Products!$A$2:$A$9,0))</f>
        <v>Hardware</v>
      </c>
      <c r="H1058" s="5" t="n">
        <v>10</v>
      </c>
      <c r="I1058" s="6" t="n">
        <f aca="false">INDEX(Products!$D$2:$D$9,MATCH(E1058,Products!$A$2:$A$9,0))</f>
        <v>189</v>
      </c>
      <c r="J1058" s="7" t="n">
        <v>0.05</v>
      </c>
      <c r="K1058" s="8" t="n">
        <f aca="false">H1058*I1058*(1-J1058)</f>
        <v>1795.5</v>
      </c>
      <c r="L1058" s="6" t="n">
        <f aca="false">H1058*INDEX(Products!$E$2:$E$9,MATCH(E1058,Products!$A$2:$A$9,0))</f>
        <v>980</v>
      </c>
      <c r="M1058" s="8" t="n">
        <f aca="false">K1058-L1058</f>
        <v>815.5</v>
      </c>
      <c r="N1058" s="2" t="s">
        <v>28</v>
      </c>
      <c r="O1058" s="2" t="s">
        <v>43</v>
      </c>
    </row>
    <row r="1059" customFormat="false" ht="15" hidden="false" customHeight="false" outlineLevel="0" collapsed="false">
      <c r="A1059" s="2" t="s">
        <v>1113</v>
      </c>
      <c r="B1059" s="3" t="n">
        <v>46097</v>
      </c>
      <c r="C1059" s="2" t="s">
        <v>41</v>
      </c>
      <c r="D1059" s="2" t="s">
        <v>42</v>
      </c>
      <c r="E1059" s="2" t="s">
        <v>26</v>
      </c>
      <c r="F1059" s="4" t="str">
        <f aca="false">INDEX(Products!$B$2:$B$9,MATCH(E1059,Products!$A$2:$A$9,0))</f>
        <v>Analytics Basic</v>
      </c>
      <c r="G1059" s="4" t="str">
        <f aca="false">INDEX(Products!$C$2:$C$9,MATCH(E1059,Products!$A$2:$A$9,0))</f>
        <v>Software</v>
      </c>
      <c r="H1059" s="5" t="n">
        <v>1</v>
      </c>
      <c r="I1059" s="6" t="n">
        <f aca="false">INDEX(Products!$D$2:$D$9,MATCH(E1059,Products!$A$2:$A$9,0))</f>
        <v>120</v>
      </c>
      <c r="J1059" s="7" t="n">
        <v>0.05</v>
      </c>
      <c r="K1059" s="8" t="n">
        <f aca="false">H1059*I1059*(1-J1059)</f>
        <v>114</v>
      </c>
      <c r="L1059" s="6" t="n">
        <f aca="false">H1059*INDEX(Products!$E$2:$E$9,MATCH(E1059,Products!$A$2:$A$9,0))</f>
        <v>18</v>
      </c>
      <c r="M1059" s="8" t="n">
        <f aca="false">K1059-L1059</f>
        <v>96</v>
      </c>
      <c r="N1059" s="2" t="s">
        <v>28</v>
      </c>
      <c r="O1059" s="2" t="s">
        <v>43</v>
      </c>
    </row>
    <row r="1060" customFormat="false" ht="15" hidden="false" customHeight="false" outlineLevel="0" collapsed="false">
      <c r="A1060" s="2" t="s">
        <v>1114</v>
      </c>
      <c r="B1060" s="3" t="n">
        <v>46098</v>
      </c>
      <c r="C1060" s="2" t="s">
        <v>30</v>
      </c>
      <c r="D1060" s="2" t="s">
        <v>128</v>
      </c>
      <c r="E1060" s="2" t="s">
        <v>68</v>
      </c>
      <c r="F1060" s="4" t="str">
        <f aca="false">INDEX(Products!$B$2:$B$9,MATCH(E1060,Products!$A$2:$A$9,0))</f>
        <v>Premium Support</v>
      </c>
      <c r="G1060" s="4" t="str">
        <f aca="false">INDEX(Products!$C$2:$C$9,MATCH(E1060,Products!$A$2:$A$9,0))</f>
        <v>Services</v>
      </c>
      <c r="H1060" s="5" t="n">
        <v>3</v>
      </c>
      <c r="I1060" s="6" t="n">
        <f aca="false">INDEX(Products!$D$2:$D$9,MATCH(E1060,Products!$A$2:$A$9,0))</f>
        <v>600</v>
      </c>
      <c r="J1060" s="7" t="n">
        <v>0.15</v>
      </c>
      <c r="K1060" s="8" t="n">
        <f aca="false">H1060*I1060*(1-J1060)</f>
        <v>1530</v>
      </c>
      <c r="L1060" s="6" t="n">
        <f aca="false">H1060*INDEX(Products!$E$2:$E$9,MATCH(E1060,Products!$A$2:$A$9,0))</f>
        <v>1185</v>
      </c>
      <c r="M1060" s="8" t="n">
        <f aca="false">K1060-L1060</f>
        <v>345</v>
      </c>
      <c r="N1060" s="2" t="s">
        <v>28</v>
      </c>
      <c r="O1060" s="2" t="s">
        <v>33</v>
      </c>
    </row>
    <row r="1061" customFormat="false" ht="15" hidden="false" customHeight="false" outlineLevel="0" collapsed="false">
      <c r="A1061" s="2" t="s">
        <v>1115</v>
      </c>
      <c r="B1061" s="3" t="n">
        <v>46098</v>
      </c>
      <c r="C1061" s="2" t="s">
        <v>47</v>
      </c>
      <c r="D1061" s="2" t="s">
        <v>71</v>
      </c>
      <c r="E1061" s="2" t="s">
        <v>23</v>
      </c>
      <c r="F1061" s="4" t="str">
        <f aca="false">INDEX(Products!$B$2:$B$9,MATCH(E1061,Products!$A$2:$A$9,0))</f>
        <v>Sensor Hub S</v>
      </c>
      <c r="G1061" s="4" t="str">
        <f aca="false">INDEX(Products!$C$2:$C$9,MATCH(E1061,Products!$A$2:$A$9,0))</f>
        <v>Hardware</v>
      </c>
      <c r="H1061" s="5" t="n">
        <v>1</v>
      </c>
      <c r="I1061" s="6" t="n">
        <f aca="false">INDEX(Products!$D$2:$D$9,MATCH(E1061,Products!$A$2:$A$9,0))</f>
        <v>189</v>
      </c>
      <c r="J1061" s="7" t="n">
        <v>0</v>
      </c>
      <c r="K1061" s="8" t="n">
        <f aca="false">H1061*I1061*(1-J1061)</f>
        <v>189</v>
      </c>
      <c r="L1061" s="6" t="n">
        <f aca="false">H1061*INDEX(Products!$E$2:$E$9,MATCH(E1061,Products!$A$2:$A$9,0))</f>
        <v>98</v>
      </c>
      <c r="M1061" s="8" t="n">
        <f aca="false">K1061-L1061</f>
        <v>91</v>
      </c>
      <c r="N1061" s="2" t="s">
        <v>28</v>
      </c>
      <c r="O1061" s="2" t="s">
        <v>72</v>
      </c>
    </row>
    <row r="1062" customFormat="false" ht="15" hidden="false" customHeight="false" outlineLevel="0" collapsed="false">
      <c r="A1062" s="2" t="s">
        <v>1116</v>
      </c>
      <c r="B1062" s="3" t="n">
        <v>46098</v>
      </c>
      <c r="C1062" s="2" t="s">
        <v>30</v>
      </c>
      <c r="D1062" s="2" t="s">
        <v>128</v>
      </c>
      <c r="E1062" s="2" t="s">
        <v>18</v>
      </c>
      <c r="F1062" s="4" t="str">
        <f aca="false">INDEX(Products!$B$2:$B$9,MATCH(E1062,Products!$A$2:$A$9,0))</f>
        <v>Sensor Hub Pro</v>
      </c>
      <c r="G1062" s="4" t="str">
        <f aca="false">INDEX(Products!$C$2:$C$9,MATCH(E1062,Products!$A$2:$A$9,0))</f>
        <v>Hardware</v>
      </c>
      <c r="H1062" s="5" t="n">
        <v>3</v>
      </c>
      <c r="I1062" s="6" t="n">
        <f aca="false">INDEX(Products!$D$2:$D$9,MATCH(E1062,Products!$A$2:$A$9,0))</f>
        <v>349</v>
      </c>
      <c r="J1062" s="7" t="n">
        <v>0</v>
      </c>
      <c r="K1062" s="8" t="n">
        <f aca="false">H1062*I1062*(1-J1062)</f>
        <v>1047</v>
      </c>
      <c r="L1062" s="6" t="n">
        <f aca="false">H1062*INDEX(Products!$E$2:$E$9,MATCH(E1062,Products!$A$2:$A$9,0))</f>
        <v>603</v>
      </c>
      <c r="M1062" s="8" t="n">
        <f aca="false">K1062-L1062</f>
        <v>444</v>
      </c>
      <c r="N1062" s="2" t="s">
        <v>28</v>
      </c>
      <c r="O1062" s="2" t="s">
        <v>64</v>
      </c>
    </row>
    <row r="1063" customFormat="false" ht="15" hidden="false" customHeight="false" outlineLevel="0" collapsed="false">
      <c r="A1063" s="2" t="s">
        <v>1117</v>
      </c>
      <c r="B1063" s="3" t="n">
        <v>46099</v>
      </c>
      <c r="C1063" s="2" t="s">
        <v>16</v>
      </c>
      <c r="D1063" s="2" t="s">
        <v>22</v>
      </c>
      <c r="E1063" s="2" t="s">
        <v>23</v>
      </c>
      <c r="F1063" s="4" t="str">
        <f aca="false">INDEX(Products!$B$2:$B$9,MATCH(E1063,Products!$A$2:$A$9,0))</f>
        <v>Sensor Hub S</v>
      </c>
      <c r="G1063" s="4" t="str">
        <f aca="false">INDEX(Products!$C$2:$C$9,MATCH(E1063,Products!$A$2:$A$9,0))</f>
        <v>Hardware</v>
      </c>
      <c r="H1063" s="5" t="n">
        <v>1</v>
      </c>
      <c r="I1063" s="6" t="n">
        <f aca="false">INDEX(Products!$D$2:$D$9,MATCH(E1063,Products!$A$2:$A$9,0))</f>
        <v>189</v>
      </c>
      <c r="J1063" s="7" t="n">
        <v>0.05</v>
      </c>
      <c r="K1063" s="8" t="n">
        <f aca="false">H1063*I1063*(1-J1063)</f>
        <v>179.55</v>
      </c>
      <c r="L1063" s="6" t="n">
        <f aca="false">H1063*INDEX(Products!$E$2:$E$9,MATCH(E1063,Products!$A$2:$A$9,0))</f>
        <v>98</v>
      </c>
      <c r="M1063" s="8" t="n">
        <f aca="false">K1063-L1063</f>
        <v>81.55</v>
      </c>
      <c r="N1063" s="2" t="s">
        <v>28</v>
      </c>
      <c r="O1063" s="2" t="s">
        <v>36</v>
      </c>
    </row>
    <row r="1064" customFormat="false" ht="15" hidden="false" customHeight="false" outlineLevel="0" collapsed="false">
      <c r="A1064" s="2" t="s">
        <v>1118</v>
      </c>
      <c r="B1064" s="3" t="n">
        <v>46099</v>
      </c>
      <c r="C1064" s="2" t="s">
        <v>41</v>
      </c>
      <c r="D1064" s="2" t="s">
        <v>66</v>
      </c>
      <c r="E1064" s="2" t="s">
        <v>18</v>
      </c>
      <c r="F1064" s="4" t="str">
        <f aca="false">INDEX(Products!$B$2:$B$9,MATCH(E1064,Products!$A$2:$A$9,0))</f>
        <v>Sensor Hub Pro</v>
      </c>
      <c r="G1064" s="4" t="str">
        <f aca="false">INDEX(Products!$C$2:$C$9,MATCH(E1064,Products!$A$2:$A$9,0))</f>
        <v>Hardware</v>
      </c>
      <c r="H1064" s="5" t="n">
        <v>1</v>
      </c>
      <c r="I1064" s="6" t="n">
        <f aca="false">INDEX(Products!$D$2:$D$9,MATCH(E1064,Products!$A$2:$A$9,0))</f>
        <v>349</v>
      </c>
      <c r="J1064" s="7" t="n">
        <v>0.1</v>
      </c>
      <c r="K1064" s="8" t="n">
        <f aca="false">H1064*I1064*(1-J1064)</f>
        <v>314.1</v>
      </c>
      <c r="L1064" s="6" t="n">
        <f aca="false">H1064*INDEX(Products!$E$2:$E$9,MATCH(E1064,Products!$A$2:$A$9,0))</f>
        <v>201</v>
      </c>
      <c r="M1064" s="8" t="n">
        <f aca="false">K1064-L1064</f>
        <v>113.1</v>
      </c>
      <c r="N1064" s="2" t="s">
        <v>19</v>
      </c>
      <c r="O1064" s="2" t="s">
        <v>43</v>
      </c>
    </row>
    <row r="1065" customFormat="false" ht="15" hidden="false" customHeight="false" outlineLevel="0" collapsed="false">
      <c r="A1065" s="2" t="s">
        <v>1119</v>
      </c>
      <c r="B1065" s="3" t="n">
        <v>46099</v>
      </c>
      <c r="C1065" s="2" t="s">
        <v>47</v>
      </c>
      <c r="D1065" s="2" t="s">
        <v>55</v>
      </c>
      <c r="E1065" s="2" t="s">
        <v>26</v>
      </c>
      <c r="F1065" s="4" t="str">
        <f aca="false">INDEX(Products!$B$2:$B$9,MATCH(E1065,Products!$A$2:$A$9,0))</f>
        <v>Analytics Basic</v>
      </c>
      <c r="G1065" s="4" t="str">
        <f aca="false">INDEX(Products!$C$2:$C$9,MATCH(E1065,Products!$A$2:$A$9,0))</f>
        <v>Software</v>
      </c>
      <c r="H1065" s="5" t="n">
        <v>1</v>
      </c>
      <c r="I1065" s="6" t="n">
        <f aca="false">INDEX(Products!$D$2:$D$9,MATCH(E1065,Products!$A$2:$A$9,0))</f>
        <v>120</v>
      </c>
      <c r="J1065" s="7" t="n">
        <v>0.15</v>
      </c>
      <c r="K1065" s="8" t="n">
        <f aca="false">H1065*I1065*(1-J1065)</f>
        <v>102</v>
      </c>
      <c r="L1065" s="6" t="n">
        <f aca="false">H1065*INDEX(Products!$E$2:$E$9,MATCH(E1065,Products!$A$2:$A$9,0))</f>
        <v>18</v>
      </c>
      <c r="M1065" s="8" t="n">
        <f aca="false">K1065-L1065</f>
        <v>84</v>
      </c>
      <c r="N1065" s="2" t="s">
        <v>28</v>
      </c>
      <c r="O1065" s="2" t="s">
        <v>72</v>
      </c>
    </row>
    <row r="1066" customFormat="false" ht="15" hidden="false" customHeight="false" outlineLevel="0" collapsed="false">
      <c r="A1066" s="2" t="s">
        <v>1120</v>
      </c>
      <c r="B1066" s="3" t="n">
        <v>46099</v>
      </c>
      <c r="C1066" s="2" t="s">
        <v>16</v>
      </c>
      <c r="D1066" s="2" t="s">
        <v>25</v>
      </c>
      <c r="E1066" s="2" t="s">
        <v>61</v>
      </c>
      <c r="F1066" s="4" t="str">
        <f aca="false">INDEX(Products!$B$2:$B$9,MATCH(E1066,Products!$A$2:$A$9,0))</f>
        <v>Install Service</v>
      </c>
      <c r="G1066" s="4" t="str">
        <f aca="false">INDEX(Products!$C$2:$C$9,MATCH(E1066,Products!$A$2:$A$9,0))</f>
        <v>Services</v>
      </c>
      <c r="H1066" s="5" t="n">
        <v>3</v>
      </c>
      <c r="I1066" s="6" t="n">
        <f aca="false">INDEX(Products!$D$2:$D$9,MATCH(E1066,Products!$A$2:$A$9,0))</f>
        <v>450</v>
      </c>
      <c r="J1066" s="7" t="n">
        <v>0.05</v>
      </c>
      <c r="K1066" s="8" t="n">
        <f aca="false">H1066*I1066*(1-J1066)</f>
        <v>1282.5</v>
      </c>
      <c r="L1066" s="6" t="n">
        <f aca="false">H1066*INDEX(Products!$E$2:$E$9,MATCH(E1066,Products!$A$2:$A$9,0))</f>
        <v>930</v>
      </c>
      <c r="M1066" s="8" t="n">
        <f aca="false">K1066-L1066</f>
        <v>352.5</v>
      </c>
      <c r="N1066" s="2" t="s">
        <v>28</v>
      </c>
      <c r="O1066" s="2" t="s">
        <v>36</v>
      </c>
    </row>
    <row r="1067" customFormat="false" ht="15" hidden="false" customHeight="false" outlineLevel="0" collapsed="false">
      <c r="A1067" s="2" t="s">
        <v>1121</v>
      </c>
      <c r="B1067" s="3" t="n">
        <v>46100</v>
      </c>
      <c r="C1067" s="2" t="s">
        <v>47</v>
      </c>
      <c r="D1067" s="2" t="s">
        <v>55</v>
      </c>
      <c r="E1067" s="2" t="s">
        <v>23</v>
      </c>
      <c r="F1067" s="4" t="str">
        <f aca="false">INDEX(Products!$B$2:$B$9,MATCH(E1067,Products!$A$2:$A$9,0))</f>
        <v>Sensor Hub S</v>
      </c>
      <c r="G1067" s="4" t="str">
        <f aca="false">INDEX(Products!$C$2:$C$9,MATCH(E1067,Products!$A$2:$A$9,0))</f>
        <v>Hardware</v>
      </c>
      <c r="H1067" s="5" t="n">
        <v>1</v>
      </c>
      <c r="I1067" s="6" t="n">
        <f aca="false">INDEX(Products!$D$2:$D$9,MATCH(E1067,Products!$A$2:$A$9,0))</f>
        <v>189</v>
      </c>
      <c r="J1067" s="7" t="n">
        <v>0</v>
      </c>
      <c r="K1067" s="8" t="n">
        <f aca="false">H1067*I1067*(1-J1067)</f>
        <v>189</v>
      </c>
      <c r="L1067" s="6" t="n">
        <f aca="false">H1067*INDEX(Products!$E$2:$E$9,MATCH(E1067,Products!$A$2:$A$9,0))</f>
        <v>98</v>
      </c>
      <c r="M1067" s="8" t="n">
        <f aca="false">K1067-L1067</f>
        <v>91</v>
      </c>
      <c r="N1067" s="2" t="s">
        <v>28</v>
      </c>
      <c r="O1067" s="2" t="s">
        <v>50</v>
      </c>
    </row>
    <row r="1068" customFormat="false" ht="15" hidden="false" customHeight="false" outlineLevel="0" collapsed="false">
      <c r="A1068" s="2" t="s">
        <v>1122</v>
      </c>
      <c r="B1068" s="3" t="n">
        <v>46100</v>
      </c>
      <c r="C1068" s="2" t="s">
        <v>47</v>
      </c>
      <c r="D1068" s="2" t="s">
        <v>48</v>
      </c>
      <c r="E1068" s="2" t="s">
        <v>26</v>
      </c>
      <c r="F1068" s="4" t="str">
        <f aca="false">INDEX(Products!$B$2:$B$9,MATCH(E1068,Products!$A$2:$A$9,0))</f>
        <v>Analytics Basic</v>
      </c>
      <c r="G1068" s="4" t="str">
        <f aca="false">INDEX(Products!$C$2:$C$9,MATCH(E1068,Products!$A$2:$A$9,0))</f>
        <v>Software</v>
      </c>
      <c r="H1068" s="5" t="n">
        <v>1</v>
      </c>
      <c r="I1068" s="6" t="n">
        <f aca="false">INDEX(Products!$D$2:$D$9,MATCH(E1068,Products!$A$2:$A$9,0))</f>
        <v>120</v>
      </c>
      <c r="J1068" s="7" t="n">
        <v>0.05</v>
      </c>
      <c r="K1068" s="8" t="n">
        <f aca="false">H1068*I1068*(1-J1068)</f>
        <v>114</v>
      </c>
      <c r="L1068" s="6" t="n">
        <f aca="false">H1068*INDEX(Products!$E$2:$E$9,MATCH(E1068,Products!$A$2:$A$9,0))</f>
        <v>18</v>
      </c>
      <c r="M1068" s="8" t="n">
        <f aca="false">K1068-L1068</f>
        <v>96</v>
      </c>
      <c r="N1068" s="2" t="s">
        <v>28</v>
      </c>
      <c r="O1068" s="2" t="s">
        <v>50</v>
      </c>
    </row>
    <row r="1069" customFormat="false" ht="15" hidden="false" customHeight="false" outlineLevel="0" collapsed="false">
      <c r="A1069" s="2" t="s">
        <v>1123</v>
      </c>
      <c r="B1069" s="3" t="n">
        <v>46100</v>
      </c>
      <c r="C1069" s="2" t="s">
        <v>41</v>
      </c>
      <c r="D1069" s="2" t="s">
        <v>42</v>
      </c>
      <c r="E1069" s="2" t="s">
        <v>26</v>
      </c>
      <c r="F1069" s="4" t="str">
        <f aca="false">INDEX(Products!$B$2:$B$9,MATCH(E1069,Products!$A$2:$A$9,0))</f>
        <v>Analytics Basic</v>
      </c>
      <c r="G1069" s="4" t="str">
        <f aca="false">INDEX(Products!$C$2:$C$9,MATCH(E1069,Products!$A$2:$A$9,0))</f>
        <v>Software</v>
      </c>
      <c r="H1069" s="5" t="n">
        <v>5</v>
      </c>
      <c r="I1069" s="6" t="n">
        <f aca="false">INDEX(Products!$D$2:$D$9,MATCH(E1069,Products!$A$2:$A$9,0))</f>
        <v>120</v>
      </c>
      <c r="J1069" s="7" t="n">
        <v>0.25</v>
      </c>
      <c r="K1069" s="8" t="n">
        <f aca="false">H1069*I1069*(1-J1069)</f>
        <v>450</v>
      </c>
      <c r="L1069" s="6" t="n">
        <f aca="false">H1069*INDEX(Products!$E$2:$E$9,MATCH(E1069,Products!$A$2:$A$9,0))</f>
        <v>90</v>
      </c>
      <c r="M1069" s="8" t="n">
        <f aca="false">K1069-L1069</f>
        <v>360</v>
      </c>
      <c r="N1069" s="2" t="s">
        <v>19</v>
      </c>
      <c r="O1069" s="2" t="s">
        <v>52</v>
      </c>
    </row>
    <row r="1070" customFormat="false" ht="15" hidden="false" customHeight="false" outlineLevel="0" collapsed="false">
      <c r="A1070" s="2" t="s">
        <v>1124</v>
      </c>
      <c r="B1070" s="3" t="n">
        <v>46101</v>
      </c>
      <c r="C1070" s="2" t="s">
        <v>47</v>
      </c>
      <c r="D1070" s="2" t="s">
        <v>71</v>
      </c>
      <c r="E1070" s="2" t="s">
        <v>23</v>
      </c>
      <c r="F1070" s="4" t="str">
        <f aca="false">INDEX(Products!$B$2:$B$9,MATCH(E1070,Products!$A$2:$A$9,0))</f>
        <v>Sensor Hub S</v>
      </c>
      <c r="G1070" s="4" t="str">
        <f aca="false">INDEX(Products!$C$2:$C$9,MATCH(E1070,Products!$A$2:$A$9,0))</f>
        <v>Hardware</v>
      </c>
      <c r="H1070" s="5" t="n">
        <v>2</v>
      </c>
      <c r="I1070" s="6" t="n">
        <f aca="false">INDEX(Products!$D$2:$D$9,MATCH(E1070,Products!$A$2:$A$9,0))</f>
        <v>189</v>
      </c>
      <c r="J1070" s="7" t="n">
        <v>0.15</v>
      </c>
      <c r="K1070" s="8" t="n">
        <f aca="false">H1070*I1070*(1-J1070)</f>
        <v>321.3</v>
      </c>
      <c r="L1070" s="6" t="n">
        <f aca="false">H1070*INDEX(Products!$E$2:$E$9,MATCH(E1070,Products!$A$2:$A$9,0))</f>
        <v>196</v>
      </c>
      <c r="M1070" s="8" t="n">
        <f aca="false">K1070-L1070</f>
        <v>125.3</v>
      </c>
      <c r="N1070" s="2" t="s">
        <v>19</v>
      </c>
      <c r="O1070" s="2" t="s">
        <v>72</v>
      </c>
    </row>
    <row r="1071" customFormat="false" ht="15" hidden="false" customHeight="false" outlineLevel="0" collapsed="false">
      <c r="A1071" s="2" t="s">
        <v>1125</v>
      </c>
      <c r="B1071" s="3" t="n">
        <v>46101</v>
      </c>
      <c r="C1071" s="2" t="s">
        <v>16</v>
      </c>
      <c r="D1071" s="2" t="s">
        <v>17</v>
      </c>
      <c r="E1071" s="2" t="s">
        <v>26</v>
      </c>
      <c r="F1071" s="4" t="str">
        <f aca="false">INDEX(Products!$B$2:$B$9,MATCH(E1071,Products!$A$2:$A$9,0))</f>
        <v>Analytics Basic</v>
      </c>
      <c r="G1071" s="4" t="str">
        <f aca="false">INDEX(Products!$C$2:$C$9,MATCH(E1071,Products!$A$2:$A$9,0))</f>
        <v>Software</v>
      </c>
      <c r="H1071" s="5" t="n">
        <v>3</v>
      </c>
      <c r="I1071" s="6" t="n">
        <f aca="false">INDEX(Products!$D$2:$D$9,MATCH(E1071,Products!$A$2:$A$9,0))</f>
        <v>120</v>
      </c>
      <c r="J1071" s="7" t="n">
        <v>0</v>
      </c>
      <c r="K1071" s="8" t="n">
        <f aca="false">H1071*I1071*(1-J1071)</f>
        <v>360</v>
      </c>
      <c r="L1071" s="6" t="n">
        <f aca="false">H1071*INDEX(Products!$E$2:$E$9,MATCH(E1071,Products!$A$2:$A$9,0))</f>
        <v>54</v>
      </c>
      <c r="M1071" s="8" t="n">
        <f aca="false">K1071-L1071</f>
        <v>306</v>
      </c>
      <c r="N1071" s="2" t="s">
        <v>28</v>
      </c>
      <c r="O1071" s="2" t="s">
        <v>36</v>
      </c>
    </row>
    <row r="1072" customFormat="false" ht="15" hidden="false" customHeight="false" outlineLevel="0" collapsed="false">
      <c r="A1072" s="2" t="s">
        <v>1126</v>
      </c>
      <c r="B1072" s="3" t="n">
        <v>46101</v>
      </c>
      <c r="C1072" s="2" t="s">
        <v>59</v>
      </c>
      <c r="D1072" s="2" t="s">
        <v>91</v>
      </c>
      <c r="E1072" s="2" t="s">
        <v>26</v>
      </c>
      <c r="F1072" s="4" t="str">
        <f aca="false">INDEX(Products!$B$2:$B$9,MATCH(E1072,Products!$A$2:$A$9,0))</f>
        <v>Analytics Basic</v>
      </c>
      <c r="G1072" s="4" t="str">
        <f aca="false">INDEX(Products!$C$2:$C$9,MATCH(E1072,Products!$A$2:$A$9,0))</f>
        <v>Software</v>
      </c>
      <c r="H1072" s="5" t="n">
        <v>3</v>
      </c>
      <c r="I1072" s="6" t="n">
        <f aca="false">INDEX(Products!$D$2:$D$9,MATCH(E1072,Products!$A$2:$A$9,0))</f>
        <v>120</v>
      </c>
      <c r="J1072" s="7" t="n">
        <v>0.1</v>
      </c>
      <c r="K1072" s="8" t="n">
        <f aca="false">H1072*I1072*(1-J1072)</f>
        <v>324</v>
      </c>
      <c r="L1072" s="6" t="n">
        <f aca="false">H1072*INDEX(Products!$E$2:$E$9,MATCH(E1072,Products!$A$2:$A$9,0))</f>
        <v>54</v>
      </c>
      <c r="M1072" s="8" t="n">
        <f aca="false">K1072-L1072</f>
        <v>270</v>
      </c>
      <c r="N1072" s="2" t="s">
        <v>28</v>
      </c>
      <c r="O1072" s="2" t="s">
        <v>62</v>
      </c>
    </row>
    <row r="1073" customFormat="false" ht="15" hidden="false" customHeight="false" outlineLevel="0" collapsed="false">
      <c r="A1073" s="2" t="s">
        <v>1127</v>
      </c>
      <c r="B1073" s="3" t="n">
        <v>46101</v>
      </c>
      <c r="C1073" s="2" t="s">
        <v>30</v>
      </c>
      <c r="D1073" s="2" t="s">
        <v>128</v>
      </c>
      <c r="E1073" s="2" t="s">
        <v>18</v>
      </c>
      <c r="F1073" s="4" t="str">
        <f aca="false">INDEX(Products!$B$2:$B$9,MATCH(E1073,Products!$A$2:$A$9,0))</f>
        <v>Sensor Hub Pro</v>
      </c>
      <c r="G1073" s="4" t="str">
        <f aca="false">INDEX(Products!$C$2:$C$9,MATCH(E1073,Products!$A$2:$A$9,0))</f>
        <v>Hardware</v>
      </c>
      <c r="H1073" s="5" t="n">
        <v>10</v>
      </c>
      <c r="I1073" s="6" t="n">
        <f aca="false">INDEX(Products!$D$2:$D$9,MATCH(E1073,Products!$A$2:$A$9,0))</f>
        <v>349</v>
      </c>
      <c r="J1073" s="7" t="n">
        <v>0</v>
      </c>
      <c r="K1073" s="8" t="n">
        <f aca="false">H1073*I1073*(1-J1073)</f>
        <v>3490</v>
      </c>
      <c r="L1073" s="6" t="n">
        <f aca="false">H1073*INDEX(Products!$E$2:$E$9,MATCH(E1073,Products!$A$2:$A$9,0))</f>
        <v>2010</v>
      </c>
      <c r="M1073" s="8" t="n">
        <f aca="false">K1073-L1073</f>
        <v>1480</v>
      </c>
      <c r="N1073" s="2" t="s">
        <v>28</v>
      </c>
      <c r="O1073" s="2" t="s">
        <v>64</v>
      </c>
    </row>
    <row r="1074" customFormat="false" ht="15" hidden="false" customHeight="false" outlineLevel="0" collapsed="false">
      <c r="A1074" s="2" t="s">
        <v>1128</v>
      </c>
      <c r="B1074" s="3" t="n">
        <v>46102</v>
      </c>
      <c r="C1074" s="2" t="s">
        <v>16</v>
      </c>
      <c r="D1074" s="2" t="s">
        <v>35</v>
      </c>
      <c r="E1074" s="2" t="s">
        <v>26</v>
      </c>
      <c r="F1074" s="4" t="str">
        <f aca="false">INDEX(Products!$B$2:$B$9,MATCH(E1074,Products!$A$2:$A$9,0))</f>
        <v>Analytics Basic</v>
      </c>
      <c r="G1074" s="4" t="str">
        <f aca="false">INDEX(Products!$C$2:$C$9,MATCH(E1074,Products!$A$2:$A$9,0))</f>
        <v>Software</v>
      </c>
      <c r="H1074" s="5" t="n">
        <v>1</v>
      </c>
      <c r="I1074" s="6" t="n">
        <f aca="false">INDEX(Products!$D$2:$D$9,MATCH(E1074,Products!$A$2:$A$9,0))</f>
        <v>120</v>
      </c>
      <c r="J1074" s="7" t="n">
        <v>0</v>
      </c>
      <c r="K1074" s="8" t="n">
        <f aca="false">H1074*I1074*(1-J1074)</f>
        <v>120</v>
      </c>
      <c r="L1074" s="6" t="n">
        <f aca="false">H1074*INDEX(Products!$E$2:$E$9,MATCH(E1074,Products!$A$2:$A$9,0))</f>
        <v>18</v>
      </c>
      <c r="M1074" s="8" t="n">
        <f aca="false">K1074-L1074</f>
        <v>102</v>
      </c>
      <c r="N1074" s="2" t="s">
        <v>38</v>
      </c>
      <c r="O1074" s="2" t="s">
        <v>20</v>
      </c>
    </row>
    <row r="1075" customFormat="false" ht="15" hidden="false" customHeight="false" outlineLevel="0" collapsed="false">
      <c r="A1075" s="2" t="s">
        <v>1129</v>
      </c>
      <c r="B1075" s="3" t="n">
        <v>46104</v>
      </c>
      <c r="C1075" s="2" t="s">
        <v>16</v>
      </c>
      <c r="D1075" s="2" t="s">
        <v>35</v>
      </c>
      <c r="E1075" s="2" t="s">
        <v>32</v>
      </c>
      <c r="F1075" s="4" t="str">
        <f aca="false">INDEX(Products!$B$2:$B$9,MATCH(E1075,Products!$A$2:$A$9,0))</f>
        <v>Analytics Plus</v>
      </c>
      <c r="G1075" s="4" t="str">
        <f aca="false">INDEX(Products!$C$2:$C$9,MATCH(E1075,Products!$A$2:$A$9,0))</f>
        <v>Software</v>
      </c>
      <c r="H1075" s="5" t="n">
        <v>1</v>
      </c>
      <c r="I1075" s="6" t="n">
        <f aca="false">INDEX(Products!$D$2:$D$9,MATCH(E1075,Products!$A$2:$A$9,0))</f>
        <v>290</v>
      </c>
      <c r="J1075" s="7" t="n">
        <v>0.05</v>
      </c>
      <c r="K1075" s="8" t="n">
        <f aca="false">H1075*I1075*(1-J1075)</f>
        <v>275.5</v>
      </c>
      <c r="L1075" s="6" t="n">
        <f aca="false">H1075*INDEX(Products!$E$2:$E$9,MATCH(E1075,Products!$A$2:$A$9,0))</f>
        <v>41</v>
      </c>
      <c r="M1075" s="8" t="n">
        <f aca="false">K1075-L1075</f>
        <v>234.5</v>
      </c>
      <c r="N1075" s="2" t="s">
        <v>28</v>
      </c>
      <c r="O1075" s="2" t="s">
        <v>36</v>
      </c>
    </row>
    <row r="1076" customFormat="false" ht="15" hidden="false" customHeight="false" outlineLevel="0" collapsed="false">
      <c r="A1076" s="2" t="s">
        <v>1130</v>
      </c>
      <c r="B1076" s="3" t="n">
        <v>46104</v>
      </c>
      <c r="C1076" s="2" t="s">
        <v>30</v>
      </c>
      <c r="D1076" s="2" t="s">
        <v>31</v>
      </c>
      <c r="E1076" s="2" t="s">
        <v>23</v>
      </c>
      <c r="F1076" s="4" t="str">
        <f aca="false">INDEX(Products!$B$2:$B$9,MATCH(E1076,Products!$A$2:$A$9,0))</f>
        <v>Sensor Hub S</v>
      </c>
      <c r="G1076" s="4" t="str">
        <f aca="false">INDEX(Products!$C$2:$C$9,MATCH(E1076,Products!$A$2:$A$9,0))</f>
        <v>Hardware</v>
      </c>
      <c r="H1076" s="5" t="n">
        <v>1</v>
      </c>
      <c r="I1076" s="6" t="n">
        <f aca="false">INDEX(Products!$D$2:$D$9,MATCH(E1076,Products!$A$2:$A$9,0))</f>
        <v>189</v>
      </c>
      <c r="J1076" s="7" t="n">
        <v>0.1</v>
      </c>
      <c r="K1076" s="8" t="n">
        <f aca="false">H1076*I1076*(1-J1076)</f>
        <v>170.1</v>
      </c>
      <c r="L1076" s="6" t="n">
        <f aca="false">H1076*INDEX(Products!$E$2:$E$9,MATCH(E1076,Products!$A$2:$A$9,0))</f>
        <v>98</v>
      </c>
      <c r="M1076" s="8" t="n">
        <f aca="false">K1076-L1076</f>
        <v>72.1</v>
      </c>
      <c r="N1076" s="2" t="s">
        <v>19</v>
      </c>
      <c r="O1076" s="2" t="s">
        <v>64</v>
      </c>
    </row>
    <row r="1077" customFormat="false" ht="15" hidden="false" customHeight="false" outlineLevel="0" collapsed="false">
      <c r="A1077" s="2" t="s">
        <v>1131</v>
      </c>
      <c r="B1077" s="3" t="n">
        <v>46104</v>
      </c>
      <c r="C1077" s="2" t="s">
        <v>47</v>
      </c>
      <c r="D1077" s="2" t="s">
        <v>55</v>
      </c>
      <c r="E1077" s="2" t="s">
        <v>49</v>
      </c>
      <c r="F1077" s="4" t="str">
        <f aca="false">INDEX(Products!$B$2:$B$9,MATCH(E1077,Products!$A$2:$A$9,0))</f>
        <v>Mounting Kit</v>
      </c>
      <c r="G1077" s="4" t="str">
        <f aca="false">INDEX(Products!$C$2:$C$9,MATCH(E1077,Products!$A$2:$A$9,0))</f>
        <v>Accessories</v>
      </c>
      <c r="H1077" s="5" t="n">
        <v>8</v>
      </c>
      <c r="I1077" s="6" t="n">
        <f aca="false">INDEX(Products!$D$2:$D$9,MATCH(E1077,Products!$A$2:$A$9,0))</f>
        <v>39</v>
      </c>
      <c r="J1077" s="7" t="n">
        <v>0.15</v>
      </c>
      <c r="K1077" s="8" t="n">
        <f aca="false">H1077*I1077*(1-J1077)</f>
        <v>265.2</v>
      </c>
      <c r="L1077" s="6" t="n">
        <f aca="false">H1077*INDEX(Products!$E$2:$E$9,MATCH(E1077,Products!$A$2:$A$9,0))</f>
        <v>252</v>
      </c>
      <c r="M1077" s="8" t="n">
        <f aca="false">K1077-L1077</f>
        <v>13.2</v>
      </c>
      <c r="N1077" s="2" t="s">
        <v>19</v>
      </c>
      <c r="O1077" s="2" t="s">
        <v>72</v>
      </c>
    </row>
    <row r="1078" customFormat="false" ht="15" hidden="false" customHeight="false" outlineLevel="0" collapsed="false">
      <c r="A1078" s="2" t="s">
        <v>1132</v>
      </c>
      <c r="B1078" s="3" t="n">
        <v>46104</v>
      </c>
      <c r="C1078" s="2" t="s">
        <v>47</v>
      </c>
      <c r="D1078" s="2" t="s">
        <v>157</v>
      </c>
      <c r="E1078" s="2" t="s">
        <v>49</v>
      </c>
      <c r="F1078" s="4" t="str">
        <f aca="false">INDEX(Products!$B$2:$B$9,MATCH(E1078,Products!$A$2:$A$9,0))</f>
        <v>Mounting Kit</v>
      </c>
      <c r="G1078" s="4" t="str">
        <f aca="false">INDEX(Products!$C$2:$C$9,MATCH(E1078,Products!$A$2:$A$9,0))</f>
        <v>Accessories</v>
      </c>
      <c r="H1078" s="5" t="n">
        <v>20</v>
      </c>
      <c r="I1078" s="6" t="n">
        <f aca="false">INDEX(Products!$D$2:$D$9,MATCH(E1078,Products!$A$2:$A$9,0))</f>
        <v>39</v>
      </c>
      <c r="J1078" s="7" t="n">
        <v>0</v>
      </c>
      <c r="K1078" s="8" t="n">
        <f aca="false">H1078*I1078*(1-J1078)</f>
        <v>780</v>
      </c>
      <c r="L1078" s="6" t="n">
        <f aca="false">H1078*INDEX(Products!$E$2:$E$9,MATCH(E1078,Products!$A$2:$A$9,0))</f>
        <v>630</v>
      </c>
      <c r="M1078" s="8" t="n">
        <f aca="false">K1078-L1078</f>
        <v>150</v>
      </c>
      <c r="N1078" s="2" t="s">
        <v>28</v>
      </c>
      <c r="O1078" s="2" t="s">
        <v>50</v>
      </c>
    </row>
    <row r="1079" customFormat="false" ht="15" hidden="false" customHeight="false" outlineLevel="0" collapsed="false">
      <c r="A1079" s="2" t="s">
        <v>1133</v>
      </c>
      <c r="B1079" s="3" t="n">
        <v>46104</v>
      </c>
      <c r="C1079" s="2" t="s">
        <v>30</v>
      </c>
      <c r="D1079" s="2" t="s">
        <v>128</v>
      </c>
      <c r="E1079" s="2" t="s">
        <v>57</v>
      </c>
      <c r="F1079" s="4" t="str">
        <f aca="false">INDEX(Products!$B$2:$B$9,MATCH(E1079,Products!$A$2:$A$9,0))</f>
        <v>Edge Gateway</v>
      </c>
      <c r="G1079" s="4" t="str">
        <f aca="false">INDEX(Products!$C$2:$C$9,MATCH(E1079,Products!$A$2:$A$9,0))</f>
        <v>Hardware</v>
      </c>
      <c r="H1079" s="5" t="n">
        <v>2</v>
      </c>
      <c r="I1079" s="6" t="n">
        <f aca="false">INDEX(Products!$D$2:$D$9,MATCH(E1079,Products!$A$2:$A$9,0))</f>
        <v>899</v>
      </c>
      <c r="J1079" s="7" t="n">
        <v>0.25</v>
      </c>
      <c r="K1079" s="8" t="n">
        <f aca="false">H1079*I1079*(1-J1079)</f>
        <v>1348.5</v>
      </c>
      <c r="L1079" s="6" t="n">
        <f aca="false">H1079*INDEX(Products!$E$2:$E$9,MATCH(E1079,Products!$A$2:$A$9,0))</f>
        <v>1224</v>
      </c>
      <c r="M1079" s="8" t="n">
        <f aca="false">K1079-L1079</f>
        <v>124.5</v>
      </c>
      <c r="N1079" s="2" t="s">
        <v>19</v>
      </c>
      <c r="O1079" s="2" t="s">
        <v>64</v>
      </c>
    </row>
    <row r="1080" customFormat="false" ht="15" hidden="false" customHeight="false" outlineLevel="0" collapsed="false">
      <c r="A1080" s="2" t="s">
        <v>1134</v>
      </c>
      <c r="B1080" s="3" t="n">
        <v>46105</v>
      </c>
      <c r="C1080" s="2" t="s">
        <v>16</v>
      </c>
      <c r="D1080" s="2" t="s">
        <v>17</v>
      </c>
      <c r="E1080" s="2" t="s">
        <v>57</v>
      </c>
      <c r="F1080" s="4" t="str">
        <f aca="false">INDEX(Products!$B$2:$B$9,MATCH(E1080,Products!$A$2:$A$9,0))</f>
        <v>Edge Gateway</v>
      </c>
      <c r="G1080" s="4" t="str">
        <f aca="false">INDEX(Products!$C$2:$C$9,MATCH(E1080,Products!$A$2:$A$9,0))</f>
        <v>Hardware</v>
      </c>
      <c r="H1080" s="5" t="n">
        <v>2</v>
      </c>
      <c r="I1080" s="6" t="n">
        <f aca="false">INDEX(Products!$D$2:$D$9,MATCH(E1080,Products!$A$2:$A$9,0))</f>
        <v>899</v>
      </c>
      <c r="J1080" s="7" t="n">
        <v>0</v>
      </c>
      <c r="K1080" s="8" t="n">
        <f aca="false">H1080*I1080*(1-J1080)</f>
        <v>1798</v>
      </c>
      <c r="L1080" s="6" t="n">
        <f aca="false">H1080*INDEX(Products!$E$2:$E$9,MATCH(E1080,Products!$A$2:$A$9,0))</f>
        <v>1224</v>
      </c>
      <c r="M1080" s="8" t="n">
        <f aca="false">K1080-L1080</f>
        <v>574</v>
      </c>
      <c r="N1080" s="2" t="s">
        <v>28</v>
      </c>
      <c r="O1080" s="2" t="s">
        <v>20</v>
      </c>
    </row>
    <row r="1081" customFormat="false" ht="15" hidden="false" customHeight="false" outlineLevel="0" collapsed="false">
      <c r="A1081" s="2" t="s">
        <v>1135</v>
      </c>
      <c r="B1081" s="3" t="n">
        <v>46105</v>
      </c>
      <c r="C1081" s="2" t="s">
        <v>41</v>
      </c>
      <c r="D1081" s="2" t="s">
        <v>66</v>
      </c>
      <c r="E1081" s="2" t="s">
        <v>32</v>
      </c>
      <c r="F1081" s="4" t="str">
        <f aca="false">INDEX(Products!$B$2:$B$9,MATCH(E1081,Products!$A$2:$A$9,0))</f>
        <v>Analytics Plus</v>
      </c>
      <c r="G1081" s="4" t="str">
        <f aca="false">INDEX(Products!$C$2:$C$9,MATCH(E1081,Products!$A$2:$A$9,0))</f>
        <v>Software</v>
      </c>
      <c r="H1081" s="5" t="n">
        <v>1</v>
      </c>
      <c r="I1081" s="6" t="n">
        <f aca="false">INDEX(Products!$D$2:$D$9,MATCH(E1081,Products!$A$2:$A$9,0))</f>
        <v>290</v>
      </c>
      <c r="J1081" s="7" t="n">
        <v>0.05</v>
      </c>
      <c r="K1081" s="8" t="n">
        <f aca="false">H1081*I1081*(1-J1081)</f>
        <v>275.5</v>
      </c>
      <c r="L1081" s="6" t="n">
        <f aca="false">H1081*INDEX(Products!$E$2:$E$9,MATCH(E1081,Products!$A$2:$A$9,0))</f>
        <v>41</v>
      </c>
      <c r="M1081" s="8" t="n">
        <f aca="false">K1081-L1081</f>
        <v>234.5</v>
      </c>
      <c r="N1081" s="2" t="s">
        <v>28</v>
      </c>
      <c r="O1081" s="2" t="s">
        <v>43</v>
      </c>
    </row>
    <row r="1082" customFormat="false" ht="15" hidden="false" customHeight="false" outlineLevel="0" collapsed="false">
      <c r="A1082" s="2" t="s">
        <v>1136</v>
      </c>
      <c r="B1082" s="3" t="n">
        <v>46105</v>
      </c>
      <c r="C1082" s="2" t="s">
        <v>16</v>
      </c>
      <c r="D1082" s="2" t="s">
        <v>22</v>
      </c>
      <c r="E1082" s="2" t="s">
        <v>26</v>
      </c>
      <c r="F1082" s="4" t="str">
        <f aca="false">INDEX(Products!$B$2:$B$9,MATCH(E1082,Products!$A$2:$A$9,0))</f>
        <v>Analytics Basic</v>
      </c>
      <c r="G1082" s="4" t="str">
        <f aca="false">INDEX(Products!$C$2:$C$9,MATCH(E1082,Products!$A$2:$A$9,0))</f>
        <v>Software</v>
      </c>
      <c r="H1082" s="5" t="n">
        <v>1</v>
      </c>
      <c r="I1082" s="6" t="n">
        <f aca="false">INDEX(Products!$D$2:$D$9,MATCH(E1082,Products!$A$2:$A$9,0))</f>
        <v>120</v>
      </c>
      <c r="J1082" s="7" t="n">
        <v>0.05</v>
      </c>
      <c r="K1082" s="8" t="n">
        <f aca="false">H1082*I1082*(1-J1082)</f>
        <v>114</v>
      </c>
      <c r="L1082" s="6" t="n">
        <f aca="false">H1082*INDEX(Products!$E$2:$E$9,MATCH(E1082,Products!$A$2:$A$9,0))</f>
        <v>18</v>
      </c>
      <c r="M1082" s="8" t="n">
        <f aca="false">K1082-L1082</f>
        <v>96</v>
      </c>
      <c r="N1082" s="2" t="s">
        <v>28</v>
      </c>
      <c r="O1082" s="2" t="s">
        <v>36</v>
      </c>
    </row>
    <row r="1083" customFormat="false" ht="15" hidden="false" customHeight="false" outlineLevel="0" collapsed="false">
      <c r="A1083" s="2" t="s">
        <v>1137</v>
      </c>
      <c r="B1083" s="3" t="n">
        <v>46106</v>
      </c>
      <c r="C1083" s="2" t="s">
        <v>47</v>
      </c>
      <c r="D1083" s="2" t="s">
        <v>48</v>
      </c>
      <c r="E1083" s="2" t="s">
        <v>68</v>
      </c>
      <c r="F1083" s="4" t="str">
        <f aca="false">INDEX(Products!$B$2:$B$9,MATCH(E1083,Products!$A$2:$A$9,0))</f>
        <v>Premium Support</v>
      </c>
      <c r="G1083" s="4" t="str">
        <f aca="false">INDEX(Products!$C$2:$C$9,MATCH(E1083,Products!$A$2:$A$9,0))</f>
        <v>Services</v>
      </c>
      <c r="H1083" s="5" t="n">
        <v>3</v>
      </c>
      <c r="I1083" s="6" t="n">
        <f aca="false">INDEX(Products!$D$2:$D$9,MATCH(E1083,Products!$A$2:$A$9,0))</f>
        <v>600</v>
      </c>
      <c r="J1083" s="7" t="n">
        <v>0.1</v>
      </c>
      <c r="K1083" s="8" t="n">
        <f aca="false">H1083*I1083*(1-J1083)</f>
        <v>1620</v>
      </c>
      <c r="L1083" s="6" t="n">
        <f aca="false">H1083*INDEX(Products!$E$2:$E$9,MATCH(E1083,Products!$A$2:$A$9,0))</f>
        <v>1185</v>
      </c>
      <c r="M1083" s="8" t="n">
        <f aca="false">K1083-L1083</f>
        <v>435</v>
      </c>
      <c r="N1083" s="2" t="s">
        <v>19</v>
      </c>
      <c r="O1083" s="2" t="s">
        <v>72</v>
      </c>
    </row>
    <row r="1084" customFormat="false" ht="15" hidden="false" customHeight="false" outlineLevel="0" collapsed="false">
      <c r="A1084" s="2" t="s">
        <v>1138</v>
      </c>
      <c r="B1084" s="3" t="n">
        <v>46106</v>
      </c>
      <c r="C1084" s="2" t="s">
        <v>16</v>
      </c>
      <c r="D1084" s="2" t="s">
        <v>22</v>
      </c>
      <c r="E1084" s="2" t="s">
        <v>23</v>
      </c>
      <c r="F1084" s="4" t="str">
        <f aca="false">INDEX(Products!$B$2:$B$9,MATCH(E1084,Products!$A$2:$A$9,0))</f>
        <v>Sensor Hub S</v>
      </c>
      <c r="G1084" s="4" t="str">
        <f aca="false">INDEX(Products!$C$2:$C$9,MATCH(E1084,Products!$A$2:$A$9,0))</f>
        <v>Hardware</v>
      </c>
      <c r="H1084" s="5" t="n">
        <v>1</v>
      </c>
      <c r="I1084" s="6" t="n">
        <f aca="false">INDEX(Products!$D$2:$D$9,MATCH(E1084,Products!$A$2:$A$9,0))</f>
        <v>189</v>
      </c>
      <c r="J1084" s="7" t="n">
        <v>0.05</v>
      </c>
      <c r="K1084" s="8" t="n">
        <f aca="false">H1084*I1084*(1-J1084)</f>
        <v>179.55</v>
      </c>
      <c r="L1084" s="6" t="n">
        <f aca="false">H1084*INDEX(Products!$E$2:$E$9,MATCH(E1084,Products!$A$2:$A$9,0))</f>
        <v>98</v>
      </c>
      <c r="M1084" s="8" t="n">
        <f aca="false">K1084-L1084</f>
        <v>81.55</v>
      </c>
      <c r="N1084" s="2" t="s">
        <v>28</v>
      </c>
      <c r="O1084" s="2" t="s">
        <v>20</v>
      </c>
    </row>
    <row r="1085" customFormat="false" ht="15" hidden="false" customHeight="false" outlineLevel="0" collapsed="false">
      <c r="A1085" s="2" t="s">
        <v>1139</v>
      </c>
      <c r="B1085" s="3" t="n">
        <v>46106</v>
      </c>
      <c r="C1085" s="2" t="s">
        <v>16</v>
      </c>
      <c r="D1085" s="2" t="s">
        <v>35</v>
      </c>
      <c r="E1085" s="2" t="s">
        <v>32</v>
      </c>
      <c r="F1085" s="4" t="str">
        <f aca="false">INDEX(Products!$B$2:$B$9,MATCH(E1085,Products!$A$2:$A$9,0))</f>
        <v>Analytics Plus</v>
      </c>
      <c r="G1085" s="4" t="str">
        <f aca="false">INDEX(Products!$C$2:$C$9,MATCH(E1085,Products!$A$2:$A$9,0))</f>
        <v>Software</v>
      </c>
      <c r="H1085" s="5" t="n">
        <v>5</v>
      </c>
      <c r="I1085" s="6" t="n">
        <f aca="false">INDEX(Products!$D$2:$D$9,MATCH(E1085,Products!$A$2:$A$9,0))</f>
        <v>290</v>
      </c>
      <c r="J1085" s="7" t="n">
        <v>0.15</v>
      </c>
      <c r="K1085" s="8" t="n">
        <f aca="false">H1085*I1085*(1-J1085)</f>
        <v>1232.5</v>
      </c>
      <c r="L1085" s="6" t="n">
        <f aca="false">H1085*INDEX(Products!$E$2:$E$9,MATCH(E1085,Products!$A$2:$A$9,0))</f>
        <v>205</v>
      </c>
      <c r="M1085" s="8" t="n">
        <f aca="false">K1085-L1085</f>
        <v>1027.5</v>
      </c>
      <c r="N1085" s="2" t="s">
        <v>19</v>
      </c>
      <c r="O1085" s="2" t="s">
        <v>20</v>
      </c>
    </row>
    <row r="1086" customFormat="false" ht="15" hidden="false" customHeight="false" outlineLevel="0" collapsed="false">
      <c r="A1086" s="2" t="s">
        <v>1140</v>
      </c>
      <c r="B1086" s="3" t="n">
        <v>46106</v>
      </c>
      <c r="C1086" s="2" t="s">
        <v>16</v>
      </c>
      <c r="D1086" s="2" t="s">
        <v>35</v>
      </c>
      <c r="E1086" s="2" t="s">
        <v>26</v>
      </c>
      <c r="F1086" s="4" t="str">
        <f aca="false">INDEX(Products!$B$2:$B$9,MATCH(E1086,Products!$A$2:$A$9,0))</f>
        <v>Analytics Basic</v>
      </c>
      <c r="G1086" s="4" t="str">
        <f aca="false">INDEX(Products!$C$2:$C$9,MATCH(E1086,Products!$A$2:$A$9,0))</f>
        <v>Software</v>
      </c>
      <c r="H1086" s="5" t="n">
        <v>5</v>
      </c>
      <c r="I1086" s="6" t="n">
        <f aca="false">INDEX(Products!$D$2:$D$9,MATCH(E1086,Products!$A$2:$A$9,0))</f>
        <v>120</v>
      </c>
      <c r="J1086" s="7" t="n">
        <v>0</v>
      </c>
      <c r="K1086" s="8" t="n">
        <f aca="false">H1086*I1086*(1-J1086)</f>
        <v>600</v>
      </c>
      <c r="L1086" s="6" t="n">
        <f aca="false">H1086*INDEX(Products!$E$2:$E$9,MATCH(E1086,Products!$A$2:$A$9,0))</f>
        <v>90</v>
      </c>
      <c r="M1086" s="8" t="n">
        <f aca="false">K1086-L1086</f>
        <v>510</v>
      </c>
      <c r="N1086" s="2" t="s">
        <v>38</v>
      </c>
      <c r="O1086" s="2" t="s">
        <v>20</v>
      </c>
    </row>
    <row r="1087" customFormat="false" ht="15" hidden="false" customHeight="false" outlineLevel="0" collapsed="false">
      <c r="A1087" s="2" t="s">
        <v>1141</v>
      </c>
      <c r="B1087" s="3" t="n">
        <v>46107</v>
      </c>
      <c r="C1087" s="2" t="s">
        <v>30</v>
      </c>
      <c r="D1087" s="2" t="s">
        <v>77</v>
      </c>
      <c r="E1087" s="2" t="s">
        <v>57</v>
      </c>
      <c r="F1087" s="4" t="str">
        <f aca="false">INDEX(Products!$B$2:$B$9,MATCH(E1087,Products!$A$2:$A$9,0))</f>
        <v>Edge Gateway</v>
      </c>
      <c r="G1087" s="4" t="str">
        <f aca="false">INDEX(Products!$C$2:$C$9,MATCH(E1087,Products!$A$2:$A$9,0))</f>
        <v>Hardware</v>
      </c>
      <c r="H1087" s="5" t="n">
        <v>1</v>
      </c>
      <c r="I1087" s="6" t="n">
        <f aca="false">INDEX(Products!$D$2:$D$9,MATCH(E1087,Products!$A$2:$A$9,0))</f>
        <v>899</v>
      </c>
      <c r="J1087" s="7" t="n">
        <v>0.25</v>
      </c>
      <c r="K1087" s="8" t="n">
        <f aca="false">H1087*I1087*(1-J1087)</f>
        <v>674.25</v>
      </c>
      <c r="L1087" s="6" t="n">
        <f aca="false">H1087*INDEX(Products!$E$2:$E$9,MATCH(E1087,Products!$A$2:$A$9,0))</f>
        <v>612</v>
      </c>
      <c r="M1087" s="8" t="n">
        <f aca="false">K1087-L1087</f>
        <v>62.25</v>
      </c>
      <c r="N1087" s="2" t="s">
        <v>19</v>
      </c>
      <c r="O1087" s="2" t="s">
        <v>33</v>
      </c>
    </row>
    <row r="1088" customFormat="false" ht="15" hidden="false" customHeight="false" outlineLevel="0" collapsed="false">
      <c r="A1088" s="2" t="s">
        <v>1142</v>
      </c>
      <c r="B1088" s="3" t="n">
        <v>46107</v>
      </c>
      <c r="C1088" s="2" t="s">
        <v>47</v>
      </c>
      <c r="D1088" s="2" t="s">
        <v>71</v>
      </c>
      <c r="E1088" s="2" t="s">
        <v>23</v>
      </c>
      <c r="F1088" s="4" t="str">
        <f aca="false">INDEX(Products!$B$2:$B$9,MATCH(E1088,Products!$A$2:$A$9,0))</f>
        <v>Sensor Hub S</v>
      </c>
      <c r="G1088" s="4" t="str">
        <f aca="false">INDEX(Products!$C$2:$C$9,MATCH(E1088,Products!$A$2:$A$9,0))</f>
        <v>Hardware</v>
      </c>
      <c r="H1088" s="5" t="n">
        <v>2</v>
      </c>
      <c r="I1088" s="6" t="n">
        <f aca="false">INDEX(Products!$D$2:$D$9,MATCH(E1088,Products!$A$2:$A$9,0))</f>
        <v>189</v>
      </c>
      <c r="J1088" s="7" t="n">
        <v>0.05</v>
      </c>
      <c r="K1088" s="8" t="n">
        <f aca="false">H1088*I1088*(1-J1088)</f>
        <v>359.1</v>
      </c>
      <c r="L1088" s="6" t="n">
        <f aca="false">H1088*INDEX(Products!$E$2:$E$9,MATCH(E1088,Products!$A$2:$A$9,0))</f>
        <v>196</v>
      </c>
      <c r="M1088" s="8" t="n">
        <f aca="false">K1088-L1088</f>
        <v>163.1</v>
      </c>
      <c r="N1088" s="2" t="s">
        <v>28</v>
      </c>
      <c r="O1088" s="2" t="s">
        <v>50</v>
      </c>
    </row>
    <row r="1089" customFormat="false" ht="15" hidden="false" customHeight="false" outlineLevel="0" collapsed="false">
      <c r="A1089" s="2" t="s">
        <v>1143</v>
      </c>
      <c r="B1089" s="3" t="n">
        <v>46107</v>
      </c>
      <c r="C1089" s="2" t="s">
        <v>16</v>
      </c>
      <c r="D1089" s="2" t="s">
        <v>17</v>
      </c>
      <c r="E1089" s="2" t="s">
        <v>23</v>
      </c>
      <c r="F1089" s="4" t="str">
        <f aca="false">INDEX(Products!$B$2:$B$9,MATCH(E1089,Products!$A$2:$A$9,0))</f>
        <v>Sensor Hub S</v>
      </c>
      <c r="G1089" s="4" t="str">
        <f aca="false">INDEX(Products!$C$2:$C$9,MATCH(E1089,Products!$A$2:$A$9,0))</f>
        <v>Hardware</v>
      </c>
      <c r="H1089" s="5" t="n">
        <v>1</v>
      </c>
      <c r="I1089" s="6" t="n">
        <f aca="false">INDEX(Products!$D$2:$D$9,MATCH(E1089,Products!$A$2:$A$9,0))</f>
        <v>189</v>
      </c>
      <c r="J1089" s="7" t="n">
        <v>0.15</v>
      </c>
      <c r="K1089" s="8" t="n">
        <f aca="false">H1089*I1089*(1-J1089)</f>
        <v>160.65</v>
      </c>
      <c r="L1089" s="6" t="n">
        <f aca="false">H1089*INDEX(Products!$E$2:$E$9,MATCH(E1089,Products!$A$2:$A$9,0))</f>
        <v>98</v>
      </c>
      <c r="M1089" s="8" t="n">
        <f aca="false">K1089-L1089</f>
        <v>62.65</v>
      </c>
      <c r="N1089" s="2" t="s">
        <v>38</v>
      </c>
      <c r="O1089" s="2" t="s">
        <v>36</v>
      </c>
    </row>
    <row r="1090" customFormat="false" ht="15" hidden="false" customHeight="false" outlineLevel="0" collapsed="false">
      <c r="A1090" s="2" t="s">
        <v>1144</v>
      </c>
      <c r="B1090" s="3" t="n">
        <v>46107</v>
      </c>
      <c r="C1090" s="2" t="s">
        <v>59</v>
      </c>
      <c r="D1090" s="2" t="s">
        <v>101</v>
      </c>
      <c r="E1090" s="2" t="s">
        <v>26</v>
      </c>
      <c r="F1090" s="4" t="str">
        <f aca="false">INDEX(Products!$B$2:$B$9,MATCH(E1090,Products!$A$2:$A$9,0))</f>
        <v>Analytics Basic</v>
      </c>
      <c r="G1090" s="4" t="str">
        <f aca="false">INDEX(Products!$C$2:$C$9,MATCH(E1090,Products!$A$2:$A$9,0))</f>
        <v>Software</v>
      </c>
      <c r="H1090" s="5" t="n">
        <v>1</v>
      </c>
      <c r="I1090" s="6" t="n">
        <f aca="false">INDEX(Products!$D$2:$D$9,MATCH(E1090,Products!$A$2:$A$9,0))</f>
        <v>120</v>
      </c>
      <c r="J1090" s="7" t="n">
        <v>0</v>
      </c>
      <c r="K1090" s="8" t="n">
        <f aca="false">H1090*I1090*(1-J1090)</f>
        <v>120</v>
      </c>
      <c r="L1090" s="6" t="n">
        <f aca="false">H1090*INDEX(Products!$E$2:$E$9,MATCH(E1090,Products!$A$2:$A$9,0))</f>
        <v>18</v>
      </c>
      <c r="M1090" s="8" t="n">
        <f aca="false">K1090-L1090</f>
        <v>102</v>
      </c>
      <c r="N1090" s="2" t="s">
        <v>38</v>
      </c>
      <c r="O1090" s="2" t="s">
        <v>62</v>
      </c>
    </row>
    <row r="1091" customFormat="false" ht="15" hidden="false" customHeight="false" outlineLevel="0" collapsed="false">
      <c r="A1091" s="2" t="s">
        <v>1145</v>
      </c>
      <c r="B1091" s="3" t="n">
        <v>46107</v>
      </c>
      <c r="C1091" s="2" t="s">
        <v>47</v>
      </c>
      <c r="D1091" s="2" t="s">
        <v>55</v>
      </c>
      <c r="E1091" s="2" t="s">
        <v>32</v>
      </c>
      <c r="F1091" s="4" t="str">
        <f aca="false">INDEX(Products!$B$2:$B$9,MATCH(E1091,Products!$A$2:$A$9,0))</f>
        <v>Analytics Plus</v>
      </c>
      <c r="G1091" s="4" t="str">
        <f aca="false">INDEX(Products!$C$2:$C$9,MATCH(E1091,Products!$A$2:$A$9,0))</f>
        <v>Software</v>
      </c>
      <c r="H1091" s="5" t="n">
        <v>1</v>
      </c>
      <c r="I1091" s="6" t="n">
        <f aca="false">INDEX(Products!$D$2:$D$9,MATCH(E1091,Products!$A$2:$A$9,0))</f>
        <v>290</v>
      </c>
      <c r="J1091" s="7" t="n">
        <v>0.05</v>
      </c>
      <c r="K1091" s="8" t="n">
        <f aca="false">H1091*I1091*(1-J1091)</f>
        <v>275.5</v>
      </c>
      <c r="L1091" s="6" t="n">
        <f aca="false">H1091*INDEX(Products!$E$2:$E$9,MATCH(E1091,Products!$A$2:$A$9,0))</f>
        <v>41</v>
      </c>
      <c r="M1091" s="8" t="n">
        <f aca="false">K1091-L1091</f>
        <v>234.5</v>
      </c>
      <c r="N1091" s="2" t="s">
        <v>28</v>
      </c>
      <c r="O1091" s="2" t="s">
        <v>50</v>
      </c>
    </row>
    <row r="1092" customFormat="false" ht="15" hidden="false" customHeight="false" outlineLevel="0" collapsed="false">
      <c r="A1092" s="2" t="s">
        <v>1146</v>
      </c>
      <c r="B1092" s="3" t="n">
        <v>46108</v>
      </c>
      <c r="C1092" s="2" t="s">
        <v>47</v>
      </c>
      <c r="D1092" s="2" t="s">
        <v>48</v>
      </c>
      <c r="E1092" s="2" t="s">
        <v>49</v>
      </c>
      <c r="F1092" s="4" t="str">
        <f aca="false">INDEX(Products!$B$2:$B$9,MATCH(E1092,Products!$A$2:$A$9,0))</f>
        <v>Mounting Kit</v>
      </c>
      <c r="G1092" s="4" t="str">
        <f aca="false">INDEX(Products!$C$2:$C$9,MATCH(E1092,Products!$A$2:$A$9,0))</f>
        <v>Accessories</v>
      </c>
      <c r="H1092" s="5" t="n">
        <v>1</v>
      </c>
      <c r="I1092" s="6" t="n">
        <f aca="false">INDEX(Products!$D$2:$D$9,MATCH(E1092,Products!$A$2:$A$9,0))</f>
        <v>39</v>
      </c>
      <c r="J1092" s="7" t="n">
        <v>0.15</v>
      </c>
      <c r="K1092" s="8" t="n">
        <f aca="false">H1092*I1092*(1-J1092)</f>
        <v>33.15</v>
      </c>
      <c r="L1092" s="6" t="n">
        <f aca="false">H1092*INDEX(Products!$E$2:$E$9,MATCH(E1092,Products!$A$2:$A$9,0))</f>
        <v>31.5</v>
      </c>
      <c r="M1092" s="8" t="n">
        <f aca="false">K1092-L1092</f>
        <v>1.65</v>
      </c>
      <c r="N1092" s="2" t="s">
        <v>19</v>
      </c>
      <c r="O1092" s="2" t="s">
        <v>72</v>
      </c>
    </row>
    <row r="1093" customFormat="false" ht="15" hidden="false" customHeight="false" outlineLevel="0" collapsed="false">
      <c r="A1093" s="2" t="s">
        <v>1147</v>
      </c>
      <c r="B1093" s="3" t="n">
        <v>46108</v>
      </c>
      <c r="C1093" s="2" t="s">
        <v>41</v>
      </c>
      <c r="D1093" s="2" t="s">
        <v>42</v>
      </c>
      <c r="E1093" s="2" t="s">
        <v>32</v>
      </c>
      <c r="F1093" s="4" t="str">
        <f aca="false">INDEX(Products!$B$2:$B$9,MATCH(E1093,Products!$A$2:$A$9,0))</f>
        <v>Analytics Plus</v>
      </c>
      <c r="G1093" s="4" t="str">
        <f aca="false">INDEX(Products!$C$2:$C$9,MATCH(E1093,Products!$A$2:$A$9,0))</f>
        <v>Software</v>
      </c>
      <c r="H1093" s="5" t="n">
        <v>1</v>
      </c>
      <c r="I1093" s="6" t="n">
        <f aca="false">INDEX(Products!$D$2:$D$9,MATCH(E1093,Products!$A$2:$A$9,0))</f>
        <v>290</v>
      </c>
      <c r="J1093" s="7" t="n">
        <v>0.15</v>
      </c>
      <c r="K1093" s="8" t="n">
        <f aca="false">H1093*I1093*(1-J1093)</f>
        <v>246.5</v>
      </c>
      <c r="L1093" s="6" t="n">
        <f aca="false">H1093*INDEX(Products!$E$2:$E$9,MATCH(E1093,Products!$A$2:$A$9,0))</f>
        <v>41</v>
      </c>
      <c r="M1093" s="8" t="n">
        <f aca="false">K1093-L1093</f>
        <v>205.5</v>
      </c>
      <c r="N1093" s="2" t="s">
        <v>19</v>
      </c>
      <c r="O1093" s="2" t="s">
        <v>43</v>
      </c>
    </row>
    <row r="1094" customFormat="false" ht="15" hidden="false" customHeight="false" outlineLevel="0" collapsed="false">
      <c r="A1094" s="2" t="s">
        <v>1148</v>
      </c>
      <c r="B1094" s="3" t="n">
        <v>46108</v>
      </c>
      <c r="C1094" s="2" t="s">
        <v>59</v>
      </c>
      <c r="D1094" s="2" t="s">
        <v>60</v>
      </c>
      <c r="E1094" s="2" t="s">
        <v>49</v>
      </c>
      <c r="F1094" s="4" t="str">
        <f aca="false">INDEX(Products!$B$2:$B$9,MATCH(E1094,Products!$A$2:$A$9,0))</f>
        <v>Mounting Kit</v>
      </c>
      <c r="G1094" s="4" t="str">
        <f aca="false">INDEX(Products!$C$2:$C$9,MATCH(E1094,Products!$A$2:$A$9,0))</f>
        <v>Accessories</v>
      </c>
      <c r="H1094" s="5" t="n">
        <v>5</v>
      </c>
      <c r="I1094" s="6" t="n">
        <f aca="false">INDEX(Products!$D$2:$D$9,MATCH(E1094,Products!$A$2:$A$9,0))</f>
        <v>39</v>
      </c>
      <c r="J1094" s="7" t="n">
        <v>0.15</v>
      </c>
      <c r="K1094" s="8" t="n">
        <f aca="false">H1094*I1094*(1-J1094)</f>
        <v>165.75</v>
      </c>
      <c r="L1094" s="6" t="n">
        <f aca="false">H1094*INDEX(Products!$E$2:$E$9,MATCH(E1094,Products!$A$2:$A$9,0))</f>
        <v>157.5</v>
      </c>
      <c r="M1094" s="8" t="n">
        <f aca="false">K1094-L1094</f>
        <v>8.25</v>
      </c>
      <c r="N1094" s="2" t="s">
        <v>28</v>
      </c>
      <c r="O1094" s="2" t="s">
        <v>62</v>
      </c>
    </row>
    <row r="1095" customFormat="false" ht="15" hidden="false" customHeight="false" outlineLevel="0" collapsed="false">
      <c r="A1095" s="2" t="s">
        <v>1149</v>
      </c>
      <c r="B1095" s="3" t="n">
        <v>46108</v>
      </c>
      <c r="C1095" s="2" t="s">
        <v>30</v>
      </c>
      <c r="D1095" s="2" t="s">
        <v>128</v>
      </c>
      <c r="E1095" s="2" t="s">
        <v>23</v>
      </c>
      <c r="F1095" s="4" t="str">
        <f aca="false">INDEX(Products!$B$2:$B$9,MATCH(E1095,Products!$A$2:$A$9,0))</f>
        <v>Sensor Hub S</v>
      </c>
      <c r="G1095" s="4" t="str">
        <f aca="false">INDEX(Products!$C$2:$C$9,MATCH(E1095,Products!$A$2:$A$9,0))</f>
        <v>Hardware</v>
      </c>
      <c r="H1095" s="5" t="n">
        <v>8</v>
      </c>
      <c r="I1095" s="6" t="n">
        <f aca="false">INDEX(Products!$D$2:$D$9,MATCH(E1095,Products!$A$2:$A$9,0))</f>
        <v>189</v>
      </c>
      <c r="J1095" s="7" t="n">
        <v>0.05</v>
      </c>
      <c r="K1095" s="8" t="n">
        <f aca="false">H1095*I1095*(1-J1095)</f>
        <v>1436.4</v>
      </c>
      <c r="L1095" s="6" t="n">
        <f aca="false">H1095*INDEX(Products!$E$2:$E$9,MATCH(E1095,Products!$A$2:$A$9,0))</f>
        <v>784</v>
      </c>
      <c r="M1095" s="8" t="n">
        <f aca="false">K1095-L1095</f>
        <v>652.4</v>
      </c>
      <c r="N1095" s="2" t="s">
        <v>28</v>
      </c>
      <c r="O1095" s="2" t="s">
        <v>33</v>
      </c>
    </row>
    <row r="1096" customFormat="false" ht="15" hidden="false" customHeight="false" outlineLevel="0" collapsed="false">
      <c r="A1096" s="2" t="s">
        <v>1150</v>
      </c>
      <c r="B1096" s="3" t="n">
        <v>46109</v>
      </c>
      <c r="C1096" s="2" t="s">
        <v>41</v>
      </c>
      <c r="D1096" s="2" t="s">
        <v>42</v>
      </c>
      <c r="E1096" s="2" t="s">
        <v>26</v>
      </c>
      <c r="F1096" s="4" t="str">
        <f aca="false">INDEX(Products!$B$2:$B$9,MATCH(E1096,Products!$A$2:$A$9,0))</f>
        <v>Analytics Basic</v>
      </c>
      <c r="G1096" s="4" t="str">
        <f aca="false">INDEX(Products!$C$2:$C$9,MATCH(E1096,Products!$A$2:$A$9,0))</f>
        <v>Software</v>
      </c>
      <c r="H1096" s="5" t="n">
        <v>1</v>
      </c>
      <c r="I1096" s="6" t="n">
        <f aca="false">INDEX(Products!$D$2:$D$9,MATCH(E1096,Products!$A$2:$A$9,0))</f>
        <v>120</v>
      </c>
      <c r="J1096" s="7" t="n">
        <v>0.15</v>
      </c>
      <c r="K1096" s="8" t="n">
        <f aca="false">H1096*I1096*(1-J1096)</f>
        <v>102</v>
      </c>
      <c r="L1096" s="6" t="n">
        <f aca="false">H1096*INDEX(Products!$E$2:$E$9,MATCH(E1096,Products!$A$2:$A$9,0))</f>
        <v>18</v>
      </c>
      <c r="M1096" s="8" t="n">
        <f aca="false">K1096-L1096</f>
        <v>84</v>
      </c>
      <c r="N1096" s="2" t="s">
        <v>19</v>
      </c>
      <c r="O1096" s="2" t="s">
        <v>52</v>
      </c>
    </row>
    <row r="1097" customFormat="false" ht="15" hidden="false" customHeight="false" outlineLevel="0" collapsed="false">
      <c r="A1097" s="2" t="s">
        <v>1151</v>
      </c>
      <c r="B1097" s="3" t="n">
        <v>46111</v>
      </c>
      <c r="C1097" s="2" t="s">
        <v>16</v>
      </c>
      <c r="D1097" s="2" t="s">
        <v>17</v>
      </c>
      <c r="E1097" s="2" t="s">
        <v>57</v>
      </c>
      <c r="F1097" s="4" t="str">
        <f aca="false">INDEX(Products!$B$2:$B$9,MATCH(E1097,Products!$A$2:$A$9,0))</f>
        <v>Edge Gateway</v>
      </c>
      <c r="G1097" s="4" t="str">
        <f aca="false">INDEX(Products!$C$2:$C$9,MATCH(E1097,Products!$A$2:$A$9,0))</f>
        <v>Hardware</v>
      </c>
      <c r="H1097" s="5" t="n">
        <v>5</v>
      </c>
      <c r="I1097" s="6" t="n">
        <f aca="false">INDEX(Products!$D$2:$D$9,MATCH(E1097,Products!$A$2:$A$9,0))</f>
        <v>899</v>
      </c>
      <c r="J1097" s="7" t="n">
        <v>0.05</v>
      </c>
      <c r="K1097" s="8" t="n">
        <f aca="false">H1097*I1097*(1-J1097)</f>
        <v>4270.25</v>
      </c>
      <c r="L1097" s="6" t="n">
        <f aca="false">H1097*INDEX(Products!$E$2:$E$9,MATCH(E1097,Products!$A$2:$A$9,0))</f>
        <v>3060</v>
      </c>
      <c r="M1097" s="8" t="n">
        <f aca="false">K1097-L1097</f>
        <v>1210.25</v>
      </c>
      <c r="N1097" s="2" t="s">
        <v>38</v>
      </c>
      <c r="O1097" s="2" t="s">
        <v>20</v>
      </c>
    </row>
    <row r="1098" customFormat="false" ht="15" hidden="false" customHeight="false" outlineLevel="0" collapsed="false">
      <c r="A1098" s="2" t="s">
        <v>1152</v>
      </c>
      <c r="B1098" s="3" t="n">
        <v>46111</v>
      </c>
      <c r="C1098" s="2" t="s">
        <v>41</v>
      </c>
      <c r="D1098" s="2" t="s">
        <v>42</v>
      </c>
      <c r="E1098" s="2" t="s">
        <v>32</v>
      </c>
      <c r="F1098" s="4" t="str">
        <f aca="false">INDEX(Products!$B$2:$B$9,MATCH(E1098,Products!$A$2:$A$9,0))</f>
        <v>Analytics Plus</v>
      </c>
      <c r="G1098" s="4" t="str">
        <f aca="false">INDEX(Products!$C$2:$C$9,MATCH(E1098,Products!$A$2:$A$9,0))</f>
        <v>Software</v>
      </c>
      <c r="H1098" s="5" t="n">
        <v>1</v>
      </c>
      <c r="I1098" s="6" t="n">
        <f aca="false">INDEX(Products!$D$2:$D$9,MATCH(E1098,Products!$A$2:$A$9,0))</f>
        <v>290</v>
      </c>
      <c r="J1098" s="7" t="n">
        <v>0</v>
      </c>
      <c r="K1098" s="8" t="n">
        <f aca="false">H1098*I1098*(1-J1098)</f>
        <v>290</v>
      </c>
      <c r="L1098" s="6" t="n">
        <f aca="false">H1098*INDEX(Products!$E$2:$E$9,MATCH(E1098,Products!$A$2:$A$9,0))</f>
        <v>41</v>
      </c>
      <c r="M1098" s="8" t="n">
        <f aca="false">K1098-L1098</f>
        <v>249</v>
      </c>
      <c r="N1098" s="2" t="s">
        <v>28</v>
      </c>
      <c r="O1098" s="2" t="s">
        <v>43</v>
      </c>
    </row>
    <row r="1099" customFormat="false" ht="15" hidden="false" customHeight="false" outlineLevel="0" collapsed="false">
      <c r="A1099" s="2" t="s">
        <v>1153</v>
      </c>
      <c r="B1099" s="3" t="n">
        <v>46111</v>
      </c>
      <c r="C1099" s="2" t="s">
        <v>16</v>
      </c>
      <c r="D1099" s="2" t="s">
        <v>22</v>
      </c>
      <c r="E1099" s="2" t="s">
        <v>32</v>
      </c>
      <c r="F1099" s="4" t="str">
        <f aca="false">INDEX(Products!$B$2:$B$9,MATCH(E1099,Products!$A$2:$A$9,0))</f>
        <v>Analytics Plus</v>
      </c>
      <c r="G1099" s="4" t="str">
        <f aca="false">INDEX(Products!$C$2:$C$9,MATCH(E1099,Products!$A$2:$A$9,0))</f>
        <v>Software</v>
      </c>
      <c r="H1099" s="5" t="n">
        <v>1</v>
      </c>
      <c r="I1099" s="6" t="n">
        <f aca="false">INDEX(Products!$D$2:$D$9,MATCH(E1099,Products!$A$2:$A$9,0))</f>
        <v>290</v>
      </c>
      <c r="J1099" s="7" t="n">
        <v>0.25</v>
      </c>
      <c r="K1099" s="8" t="n">
        <f aca="false">H1099*I1099*(1-J1099)</f>
        <v>217.5</v>
      </c>
      <c r="L1099" s="6" t="n">
        <f aca="false">H1099*INDEX(Products!$E$2:$E$9,MATCH(E1099,Products!$A$2:$A$9,0))</f>
        <v>41</v>
      </c>
      <c r="M1099" s="8" t="n">
        <f aca="false">K1099-L1099</f>
        <v>176.5</v>
      </c>
      <c r="N1099" s="2" t="s">
        <v>19</v>
      </c>
      <c r="O1099" s="2" t="s">
        <v>36</v>
      </c>
    </row>
    <row r="1100" customFormat="false" ht="15" hidden="false" customHeight="false" outlineLevel="0" collapsed="false">
      <c r="A1100" s="2" t="s">
        <v>1154</v>
      </c>
      <c r="B1100" s="3" t="n">
        <v>46111</v>
      </c>
      <c r="C1100" s="2" t="s">
        <v>41</v>
      </c>
      <c r="D1100" s="2" t="s">
        <v>66</v>
      </c>
      <c r="E1100" s="2" t="s">
        <v>18</v>
      </c>
      <c r="F1100" s="4" t="str">
        <f aca="false">INDEX(Products!$B$2:$B$9,MATCH(E1100,Products!$A$2:$A$9,0))</f>
        <v>Sensor Hub Pro</v>
      </c>
      <c r="G1100" s="4" t="str">
        <f aca="false">INDEX(Products!$C$2:$C$9,MATCH(E1100,Products!$A$2:$A$9,0))</f>
        <v>Hardware</v>
      </c>
      <c r="H1100" s="5" t="n">
        <v>5</v>
      </c>
      <c r="I1100" s="6" t="n">
        <f aca="false">INDEX(Products!$D$2:$D$9,MATCH(E1100,Products!$A$2:$A$9,0))</f>
        <v>349</v>
      </c>
      <c r="J1100" s="7" t="n">
        <v>0.05</v>
      </c>
      <c r="K1100" s="8" t="n">
        <f aca="false">H1100*I1100*(1-J1100)</f>
        <v>1657.75</v>
      </c>
      <c r="L1100" s="6" t="n">
        <f aca="false">H1100*INDEX(Products!$E$2:$E$9,MATCH(E1100,Products!$A$2:$A$9,0))</f>
        <v>1005</v>
      </c>
      <c r="M1100" s="8" t="n">
        <f aca="false">K1100-L1100</f>
        <v>652.75</v>
      </c>
      <c r="N1100" s="2" t="s">
        <v>28</v>
      </c>
      <c r="O1100" s="2" t="s">
        <v>43</v>
      </c>
    </row>
    <row r="1101" customFormat="false" ht="15" hidden="false" customHeight="false" outlineLevel="0" collapsed="false">
      <c r="A1101" s="2" t="s">
        <v>1155</v>
      </c>
      <c r="B1101" s="3" t="n">
        <v>46111</v>
      </c>
      <c r="C1101" s="2" t="s">
        <v>16</v>
      </c>
      <c r="D1101" s="2" t="s">
        <v>25</v>
      </c>
      <c r="E1101" s="2" t="s">
        <v>61</v>
      </c>
      <c r="F1101" s="4" t="str">
        <f aca="false">INDEX(Products!$B$2:$B$9,MATCH(E1101,Products!$A$2:$A$9,0))</f>
        <v>Install Service</v>
      </c>
      <c r="G1101" s="4" t="str">
        <f aca="false">INDEX(Products!$C$2:$C$9,MATCH(E1101,Products!$A$2:$A$9,0))</f>
        <v>Services</v>
      </c>
      <c r="H1101" s="5" t="n">
        <v>1</v>
      </c>
      <c r="I1101" s="6" t="n">
        <f aca="false">INDEX(Products!$D$2:$D$9,MATCH(E1101,Products!$A$2:$A$9,0))</f>
        <v>450</v>
      </c>
      <c r="J1101" s="7" t="n">
        <v>0.05</v>
      </c>
      <c r="K1101" s="8" t="n">
        <f aca="false">H1101*I1101*(1-J1101)</f>
        <v>427.5</v>
      </c>
      <c r="L1101" s="6" t="n">
        <f aca="false">H1101*INDEX(Products!$E$2:$E$9,MATCH(E1101,Products!$A$2:$A$9,0))</f>
        <v>310</v>
      </c>
      <c r="M1101" s="8" t="n">
        <f aca="false">K1101-L1101</f>
        <v>117.5</v>
      </c>
      <c r="N1101" s="2" t="s">
        <v>28</v>
      </c>
      <c r="O1101" s="2" t="s">
        <v>20</v>
      </c>
    </row>
    <row r="1102" customFormat="false" ht="15" hidden="false" customHeight="false" outlineLevel="0" collapsed="false">
      <c r="A1102" s="2" t="s">
        <v>1156</v>
      </c>
      <c r="B1102" s="3" t="n">
        <v>46112</v>
      </c>
      <c r="C1102" s="2" t="s">
        <v>41</v>
      </c>
      <c r="D1102" s="2" t="s">
        <v>66</v>
      </c>
      <c r="E1102" s="2" t="s">
        <v>23</v>
      </c>
      <c r="F1102" s="4" t="str">
        <f aca="false">INDEX(Products!$B$2:$B$9,MATCH(E1102,Products!$A$2:$A$9,0))</f>
        <v>Sensor Hub S</v>
      </c>
      <c r="G1102" s="4" t="str">
        <f aca="false">INDEX(Products!$C$2:$C$9,MATCH(E1102,Products!$A$2:$A$9,0))</f>
        <v>Hardware</v>
      </c>
      <c r="H1102" s="5" t="n">
        <v>3</v>
      </c>
      <c r="I1102" s="6" t="n">
        <f aca="false">INDEX(Products!$D$2:$D$9,MATCH(E1102,Products!$A$2:$A$9,0))</f>
        <v>189</v>
      </c>
      <c r="J1102" s="7" t="n">
        <v>0.1</v>
      </c>
      <c r="K1102" s="8" t="n">
        <f aca="false">H1102*I1102*(1-J1102)</f>
        <v>510.3</v>
      </c>
      <c r="L1102" s="6" t="n">
        <f aca="false">H1102*INDEX(Products!$E$2:$E$9,MATCH(E1102,Products!$A$2:$A$9,0))</f>
        <v>294</v>
      </c>
      <c r="M1102" s="8" t="n">
        <f aca="false">K1102-L1102</f>
        <v>216.3</v>
      </c>
      <c r="N1102" s="2" t="s">
        <v>19</v>
      </c>
      <c r="O1102" s="2" t="s">
        <v>43</v>
      </c>
    </row>
    <row r="1103" customFormat="false" ht="15" hidden="false" customHeight="false" outlineLevel="0" collapsed="false">
      <c r="A1103" s="2" t="s">
        <v>1157</v>
      </c>
      <c r="B1103" s="3" t="n">
        <v>46112</v>
      </c>
      <c r="C1103" s="2" t="s">
        <v>47</v>
      </c>
      <c r="D1103" s="2" t="s">
        <v>55</v>
      </c>
      <c r="E1103" s="2" t="s">
        <v>32</v>
      </c>
      <c r="F1103" s="4" t="str">
        <f aca="false">INDEX(Products!$B$2:$B$9,MATCH(E1103,Products!$A$2:$A$9,0))</f>
        <v>Analytics Plus</v>
      </c>
      <c r="G1103" s="4" t="str">
        <f aca="false">INDEX(Products!$C$2:$C$9,MATCH(E1103,Products!$A$2:$A$9,0))</f>
        <v>Software</v>
      </c>
      <c r="H1103" s="5" t="n">
        <v>1</v>
      </c>
      <c r="I1103" s="6" t="n">
        <f aca="false">INDEX(Products!$D$2:$D$9,MATCH(E1103,Products!$A$2:$A$9,0))</f>
        <v>290</v>
      </c>
      <c r="J1103" s="7" t="n">
        <v>0.05</v>
      </c>
      <c r="K1103" s="8" t="n">
        <f aca="false">H1103*I1103*(1-J1103)</f>
        <v>275.5</v>
      </c>
      <c r="L1103" s="6" t="n">
        <f aca="false">H1103*INDEX(Products!$E$2:$E$9,MATCH(E1103,Products!$A$2:$A$9,0))</f>
        <v>41</v>
      </c>
      <c r="M1103" s="8" t="n">
        <f aca="false">K1103-L1103</f>
        <v>234.5</v>
      </c>
      <c r="N1103" s="2" t="s">
        <v>28</v>
      </c>
      <c r="O1103" s="2" t="s">
        <v>50</v>
      </c>
    </row>
    <row r="1104" customFormat="false" ht="15" hidden="false" customHeight="false" outlineLevel="0" collapsed="false">
      <c r="A1104" s="2" t="s">
        <v>1158</v>
      </c>
      <c r="B1104" s="3" t="n">
        <v>46112</v>
      </c>
      <c r="C1104" s="2" t="s">
        <v>47</v>
      </c>
      <c r="D1104" s="2" t="s">
        <v>55</v>
      </c>
      <c r="E1104" s="2" t="s">
        <v>49</v>
      </c>
      <c r="F1104" s="4" t="str">
        <f aca="false">INDEX(Products!$B$2:$B$9,MATCH(E1104,Products!$A$2:$A$9,0))</f>
        <v>Mounting Kit</v>
      </c>
      <c r="G1104" s="4" t="str">
        <f aca="false">INDEX(Products!$C$2:$C$9,MATCH(E1104,Products!$A$2:$A$9,0))</f>
        <v>Accessories</v>
      </c>
      <c r="H1104" s="5" t="n">
        <v>20</v>
      </c>
      <c r="I1104" s="6" t="n">
        <f aca="false">INDEX(Products!$D$2:$D$9,MATCH(E1104,Products!$A$2:$A$9,0))</f>
        <v>39</v>
      </c>
      <c r="J1104" s="7" t="n">
        <v>0.15</v>
      </c>
      <c r="K1104" s="8" t="n">
        <f aca="false">H1104*I1104*(1-J1104)</f>
        <v>663</v>
      </c>
      <c r="L1104" s="6" t="n">
        <f aca="false">H1104*INDEX(Products!$E$2:$E$9,MATCH(E1104,Products!$A$2:$A$9,0))</f>
        <v>630</v>
      </c>
      <c r="M1104" s="8" t="n">
        <f aca="false">K1104-L1104</f>
        <v>33</v>
      </c>
      <c r="N1104" s="2" t="s">
        <v>38</v>
      </c>
      <c r="O1104" s="2" t="s">
        <v>50</v>
      </c>
    </row>
    <row r="1105" customFormat="false" ht="15" hidden="false" customHeight="false" outlineLevel="0" collapsed="false">
      <c r="A1105" s="2" t="s">
        <v>1159</v>
      </c>
      <c r="B1105" s="3" t="n">
        <v>46113</v>
      </c>
      <c r="C1105" s="2" t="s">
        <v>16</v>
      </c>
      <c r="D1105" s="2" t="s">
        <v>35</v>
      </c>
      <c r="E1105" s="2" t="s">
        <v>26</v>
      </c>
      <c r="F1105" s="4" t="str">
        <f aca="false">INDEX(Products!$B$2:$B$9,MATCH(E1105,Products!$A$2:$A$9,0))</f>
        <v>Analytics Basic</v>
      </c>
      <c r="G1105" s="4" t="str">
        <f aca="false">INDEX(Products!$C$2:$C$9,MATCH(E1105,Products!$A$2:$A$9,0))</f>
        <v>Software</v>
      </c>
      <c r="H1105" s="5" t="n">
        <v>5</v>
      </c>
      <c r="I1105" s="6" t="n">
        <f aca="false">INDEX(Products!$D$2:$D$9,MATCH(E1105,Products!$A$2:$A$9,0))</f>
        <v>120</v>
      </c>
      <c r="J1105" s="7" t="n">
        <v>0.05</v>
      </c>
      <c r="K1105" s="8" t="n">
        <f aca="false">H1105*I1105*(1-J1105)</f>
        <v>570</v>
      </c>
      <c r="L1105" s="6" t="n">
        <f aca="false">H1105*INDEX(Products!$E$2:$E$9,MATCH(E1105,Products!$A$2:$A$9,0))</f>
        <v>90</v>
      </c>
      <c r="M1105" s="8" t="n">
        <f aca="false">K1105-L1105</f>
        <v>480</v>
      </c>
      <c r="N1105" s="2" t="s">
        <v>38</v>
      </c>
      <c r="O1105" s="2" t="s">
        <v>20</v>
      </c>
    </row>
    <row r="1106" customFormat="false" ht="15" hidden="false" customHeight="false" outlineLevel="0" collapsed="false">
      <c r="A1106" s="2" t="s">
        <v>1160</v>
      </c>
      <c r="B1106" s="3" t="n">
        <v>46113</v>
      </c>
      <c r="C1106" s="2" t="s">
        <v>41</v>
      </c>
      <c r="D1106" s="2" t="s">
        <v>42</v>
      </c>
      <c r="E1106" s="2" t="s">
        <v>26</v>
      </c>
      <c r="F1106" s="4" t="str">
        <f aca="false">INDEX(Products!$B$2:$B$9,MATCH(E1106,Products!$A$2:$A$9,0))</f>
        <v>Analytics Basic</v>
      </c>
      <c r="G1106" s="4" t="str">
        <f aca="false">INDEX(Products!$C$2:$C$9,MATCH(E1106,Products!$A$2:$A$9,0))</f>
        <v>Software</v>
      </c>
      <c r="H1106" s="5" t="n">
        <v>1</v>
      </c>
      <c r="I1106" s="6" t="n">
        <f aca="false">INDEX(Products!$D$2:$D$9,MATCH(E1106,Products!$A$2:$A$9,0))</f>
        <v>120</v>
      </c>
      <c r="J1106" s="7" t="n">
        <v>0.15</v>
      </c>
      <c r="K1106" s="8" t="n">
        <f aca="false">H1106*I1106*(1-J1106)</f>
        <v>102</v>
      </c>
      <c r="L1106" s="6" t="n">
        <f aca="false">H1106*INDEX(Products!$E$2:$E$9,MATCH(E1106,Products!$A$2:$A$9,0))</f>
        <v>18</v>
      </c>
      <c r="M1106" s="8" t="n">
        <f aca="false">K1106-L1106</f>
        <v>84</v>
      </c>
      <c r="N1106" s="2" t="s">
        <v>28</v>
      </c>
      <c r="O1106" s="2" t="s">
        <v>52</v>
      </c>
    </row>
    <row r="1107" customFormat="false" ht="15" hidden="false" customHeight="false" outlineLevel="0" collapsed="false">
      <c r="A1107" s="2" t="s">
        <v>1161</v>
      </c>
      <c r="B1107" s="3" t="n">
        <v>46113</v>
      </c>
      <c r="C1107" s="2" t="s">
        <v>16</v>
      </c>
      <c r="D1107" s="2" t="s">
        <v>22</v>
      </c>
      <c r="E1107" s="2" t="s">
        <v>23</v>
      </c>
      <c r="F1107" s="4" t="str">
        <f aca="false">INDEX(Products!$B$2:$B$9,MATCH(E1107,Products!$A$2:$A$9,0))</f>
        <v>Sensor Hub S</v>
      </c>
      <c r="G1107" s="4" t="str">
        <f aca="false">INDEX(Products!$C$2:$C$9,MATCH(E1107,Products!$A$2:$A$9,0))</f>
        <v>Hardware</v>
      </c>
      <c r="H1107" s="5" t="n">
        <v>2</v>
      </c>
      <c r="I1107" s="6" t="n">
        <f aca="false">INDEX(Products!$D$2:$D$9,MATCH(E1107,Products!$A$2:$A$9,0))</f>
        <v>189</v>
      </c>
      <c r="J1107" s="7" t="n">
        <v>0.15</v>
      </c>
      <c r="K1107" s="8" t="n">
        <f aca="false">H1107*I1107*(1-J1107)</f>
        <v>321.3</v>
      </c>
      <c r="L1107" s="6" t="n">
        <f aca="false">H1107*INDEX(Products!$E$2:$E$9,MATCH(E1107,Products!$A$2:$A$9,0))</f>
        <v>196</v>
      </c>
      <c r="M1107" s="8" t="n">
        <f aca="false">K1107-L1107</f>
        <v>125.3</v>
      </c>
      <c r="N1107" s="2" t="s">
        <v>19</v>
      </c>
      <c r="O1107" s="2" t="s">
        <v>36</v>
      </c>
    </row>
    <row r="1108" customFormat="false" ht="15" hidden="false" customHeight="false" outlineLevel="0" collapsed="false">
      <c r="A1108" s="2" t="s">
        <v>1162</v>
      </c>
      <c r="B1108" s="3" t="n">
        <v>46113</v>
      </c>
      <c r="C1108" s="2" t="s">
        <v>47</v>
      </c>
      <c r="D1108" s="2" t="s">
        <v>48</v>
      </c>
      <c r="E1108" s="2" t="s">
        <v>61</v>
      </c>
      <c r="F1108" s="4" t="str">
        <f aca="false">INDEX(Products!$B$2:$B$9,MATCH(E1108,Products!$A$2:$A$9,0))</f>
        <v>Install Service</v>
      </c>
      <c r="G1108" s="4" t="str">
        <f aca="false">INDEX(Products!$C$2:$C$9,MATCH(E1108,Products!$A$2:$A$9,0))</f>
        <v>Services</v>
      </c>
      <c r="H1108" s="5" t="n">
        <v>1</v>
      </c>
      <c r="I1108" s="6" t="n">
        <f aca="false">INDEX(Products!$D$2:$D$9,MATCH(E1108,Products!$A$2:$A$9,0))</f>
        <v>450</v>
      </c>
      <c r="J1108" s="7" t="n">
        <v>0.15</v>
      </c>
      <c r="K1108" s="8" t="n">
        <f aca="false">H1108*I1108*(1-J1108)</f>
        <v>382.5</v>
      </c>
      <c r="L1108" s="6" t="n">
        <f aca="false">H1108*INDEX(Products!$E$2:$E$9,MATCH(E1108,Products!$A$2:$A$9,0))</f>
        <v>310</v>
      </c>
      <c r="M1108" s="8" t="n">
        <f aca="false">K1108-L1108</f>
        <v>72.5</v>
      </c>
      <c r="N1108" s="2" t="s">
        <v>19</v>
      </c>
      <c r="O1108" s="2" t="s">
        <v>50</v>
      </c>
    </row>
    <row r="1109" customFormat="false" ht="15" hidden="false" customHeight="false" outlineLevel="0" collapsed="false">
      <c r="A1109" s="2" t="s">
        <v>1163</v>
      </c>
      <c r="B1109" s="3" t="n">
        <v>46113</v>
      </c>
      <c r="C1109" s="2" t="s">
        <v>16</v>
      </c>
      <c r="D1109" s="2" t="s">
        <v>17</v>
      </c>
      <c r="E1109" s="2" t="s">
        <v>49</v>
      </c>
      <c r="F1109" s="4" t="str">
        <f aca="false">INDEX(Products!$B$2:$B$9,MATCH(E1109,Products!$A$2:$A$9,0))</f>
        <v>Mounting Kit</v>
      </c>
      <c r="G1109" s="4" t="str">
        <f aca="false">INDEX(Products!$C$2:$C$9,MATCH(E1109,Products!$A$2:$A$9,0))</f>
        <v>Accessories</v>
      </c>
      <c r="H1109" s="5" t="n">
        <v>4</v>
      </c>
      <c r="I1109" s="6" t="n">
        <f aca="false">INDEX(Products!$D$2:$D$9,MATCH(E1109,Products!$A$2:$A$9,0))</f>
        <v>39</v>
      </c>
      <c r="J1109" s="7" t="n">
        <v>0</v>
      </c>
      <c r="K1109" s="8" t="n">
        <f aca="false">H1109*I1109*(1-J1109)</f>
        <v>156</v>
      </c>
      <c r="L1109" s="6" t="n">
        <f aca="false">H1109*INDEX(Products!$E$2:$E$9,MATCH(E1109,Products!$A$2:$A$9,0))</f>
        <v>126</v>
      </c>
      <c r="M1109" s="8" t="n">
        <f aca="false">K1109-L1109</f>
        <v>30</v>
      </c>
      <c r="N1109" s="2" t="s">
        <v>28</v>
      </c>
      <c r="O1109" s="2" t="s">
        <v>36</v>
      </c>
    </row>
    <row r="1110" customFormat="false" ht="15" hidden="false" customHeight="false" outlineLevel="0" collapsed="false">
      <c r="A1110" s="2" t="s">
        <v>1164</v>
      </c>
      <c r="B1110" s="3" t="n">
        <v>46114</v>
      </c>
      <c r="C1110" s="2" t="s">
        <v>41</v>
      </c>
      <c r="D1110" s="2" t="s">
        <v>42</v>
      </c>
      <c r="E1110" s="2" t="s">
        <v>49</v>
      </c>
      <c r="F1110" s="4" t="str">
        <f aca="false">INDEX(Products!$B$2:$B$9,MATCH(E1110,Products!$A$2:$A$9,0))</f>
        <v>Mounting Kit</v>
      </c>
      <c r="G1110" s="4" t="str">
        <f aca="false">INDEX(Products!$C$2:$C$9,MATCH(E1110,Products!$A$2:$A$9,0))</f>
        <v>Accessories</v>
      </c>
      <c r="H1110" s="5" t="n">
        <v>4</v>
      </c>
      <c r="I1110" s="6" t="n">
        <f aca="false">INDEX(Products!$D$2:$D$9,MATCH(E1110,Products!$A$2:$A$9,0))</f>
        <v>39</v>
      </c>
      <c r="J1110" s="7" t="n">
        <v>0</v>
      </c>
      <c r="K1110" s="8" t="n">
        <f aca="false">H1110*I1110*(1-J1110)</f>
        <v>156</v>
      </c>
      <c r="L1110" s="6" t="n">
        <f aca="false">H1110*INDEX(Products!$E$2:$E$9,MATCH(E1110,Products!$A$2:$A$9,0))</f>
        <v>126</v>
      </c>
      <c r="M1110" s="8" t="n">
        <f aca="false">K1110-L1110</f>
        <v>30</v>
      </c>
      <c r="N1110" s="2" t="s">
        <v>28</v>
      </c>
      <c r="O1110" s="2" t="s">
        <v>43</v>
      </c>
    </row>
    <row r="1111" customFormat="false" ht="15" hidden="false" customHeight="false" outlineLevel="0" collapsed="false">
      <c r="A1111" s="2" t="s">
        <v>1165</v>
      </c>
      <c r="B1111" s="3" t="n">
        <v>46114</v>
      </c>
      <c r="C1111" s="2" t="s">
        <v>16</v>
      </c>
      <c r="D1111" s="2" t="s">
        <v>22</v>
      </c>
      <c r="E1111" s="2" t="s">
        <v>18</v>
      </c>
      <c r="F1111" s="4" t="str">
        <f aca="false">INDEX(Products!$B$2:$B$9,MATCH(E1111,Products!$A$2:$A$9,0))</f>
        <v>Sensor Hub Pro</v>
      </c>
      <c r="G1111" s="4" t="str">
        <f aca="false">INDEX(Products!$C$2:$C$9,MATCH(E1111,Products!$A$2:$A$9,0))</f>
        <v>Hardware</v>
      </c>
      <c r="H1111" s="5" t="n">
        <v>3</v>
      </c>
      <c r="I1111" s="6" t="n">
        <f aca="false">INDEX(Products!$D$2:$D$9,MATCH(E1111,Products!$A$2:$A$9,0))</f>
        <v>349</v>
      </c>
      <c r="J1111" s="7" t="n">
        <v>0.1</v>
      </c>
      <c r="K1111" s="8" t="n">
        <f aca="false">H1111*I1111*(1-J1111)</f>
        <v>942.3</v>
      </c>
      <c r="L1111" s="6" t="n">
        <f aca="false">H1111*INDEX(Products!$E$2:$E$9,MATCH(E1111,Products!$A$2:$A$9,0))</f>
        <v>603</v>
      </c>
      <c r="M1111" s="8" t="n">
        <f aca="false">K1111-L1111</f>
        <v>339.3</v>
      </c>
      <c r="N1111" s="2" t="s">
        <v>19</v>
      </c>
      <c r="O1111" s="2" t="s">
        <v>36</v>
      </c>
    </row>
    <row r="1112" customFormat="false" ht="15" hidden="false" customHeight="false" outlineLevel="0" collapsed="false">
      <c r="A1112" s="2" t="s">
        <v>1166</v>
      </c>
      <c r="B1112" s="3" t="n">
        <v>46114</v>
      </c>
      <c r="C1112" s="2" t="s">
        <v>16</v>
      </c>
      <c r="D1112" s="2" t="s">
        <v>22</v>
      </c>
      <c r="E1112" s="2" t="s">
        <v>23</v>
      </c>
      <c r="F1112" s="4" t="str">
        <f aca="false">INDEX(Products!$B$2:$B$9,MATCH(E1112,Products!$A$2:$A$9,0))</f>
        <v>Sensor Hub S</v>
      </c>
      <c r="G1112" s="4" t="str">
        <f aca="false">INDEX(Products!$C$2:$C$9,MATCH(E1112,Products!$A$2:$A$9,0))</f>
        <v>Hardware</v>
      </c>
      <c r="H1112" s="5" t="n">
        <v>3</v>
      </c>
      <c r="I1112" s="6" t="n">
        <f aca="false">INDEX(Products!$D$2:$D$9,MATCH(E1112,Products!$A$2:$A$9,0))</f>
        <v>189</v>
      </c>
      <c r="J1112" s="7" t="n">
        <v>0</v>
      </c>
      <c r="K1112" s="8" t="n">
        <f aca="false">H1112*I1112*(1-J1112)</f>
        <v>567</v>
      </c>
      <c r="L1112" s="6" t="n">
        <f aca="false">H1112*INDEX(Products!$E$2:$E$9,MATCH(E1112,Products!$A$2:$A$9,0))</f>
        <v>294</v>
      </c>
      <c r="M1112" s="8" t="n">
        <f aca="false">K1112-L1112</f>
        <v>273</v>
      </c>
      <c r="N1112" s="2" t="s">
        <v>38</v>
      </c>
      <c r="O1112" s="2" t="s">
        <v>20</v>
      </c>
    </row>
    <row r="1113" customFormat="false" ht="15" hidden="false" customHeight="false" outlineLevel="0" collapsed="false">
      <c r="A1113" s="2" t="s">
        <v>1167</v>
      </c>
      <c r="B1113" s="3" t="n">
        <v>46114</v>
      </c>
      <c r="C1113" s="2" t="s">
        <v>41</v>
      </c>
      <c r="D1113" s="2" t="s">
        <v>66</v>
      </c>
      <c r="E1113" s="2" t="s">
        <v>49</v>
      </c>
      <c r="F1113" s="4" t="str">
        <f aca="false">INDEX(Products!$B$2:$B$9,MATCH(E1113,Products!$A$2:$A$9,0))</f>
        <v>Mounting Kit</v>
      </c>
      <c r="G1113" s="4" t="str">
        <f aca="false">INDEX(Products!$C$2:$C$9,MATCH(E1113,Products!$A$2:$A$9,0))</f>
        <v>Accessories</v>
      </c>
      <c r="H1113" s="5" t="n">
        <v>4</v>
      </c>
      <c r="I1113" s="6" t="n">
        <f aca="false">INDEX(Products!$D$2:$D$9,MATCH(E1113,Products!$A$2:$A$9,0))</f>
        <v>39</v>
      </c>
      <c r="J1113" s="7" t="n">
        <v>0</v>
      </c>
      <c r="K1113" s="8" t="n">
        <f aca="false">H1113*I1113*(1-J1113)</f>
        <v>156</v>
      </c>
      <c r="L1113" s="6" t="n">
        <f aca="false">H1113*INDEX(Products!$E$2:$E$9,MATCH(E1113,Products!$A$2:$A$9,0))</f>
        <v>126</v>
      </c>
      <c r="M1113" s="8" t="n">
        <f aca="false">K1113-L1113</f>
        <v>30</v>
      </c>
      <c r="N1113" s="2" t="s">
        <v>38</v>
      </c>
      <c r="O1113" s="2" t="s">
        <v>43</v>
      </c>
    </row>
    <row r="1114" customFormat="false" ht="15" hidden="false" customHeight="false" outlineLevel="0" collapsed="false">
      <c r="A1114" s="2" t="s">
        <v>1168</v>
      </c>
      <c r="B1114" s="3" t="n">
        <v>46115</v>
      </c>
      <c r="C1114" s="2" t="s">
        <v>47</v>
      </c>
      <c r="D1114" s="2" t="s">
        <v>71</v>
      </c>
      <c r="E1114" s="2" t="s">
        <v>57</v>
      </c>
      <c r="F1114" s="4" t="str">
        <f aca="false">INDEX(Products!$B$2:$B$9,MATCH(E1114,Products!$A$2:$A$9,0))</f>
        <v>Edge Gateway</v>
      </c>
      <c r="G1114" s="4" t="str">
        <f aca="false">INDEX(Products!$C$2:$C$9,MATCH(E1114,Products!$A$2:$A$9,0))</f>
        <v>Hardware</v>
      </c>
      <c r="H1114" s="5" t="n">
        <v>2</v>
      </c>
      <c r="I1114" s="6" t="n">
        <f aca="false">INDEX(Products!$D$2:$D$9,MATCH(E1114,Products!$A$2:$A$9,0))</f>
        <v>899</v>
      </c>
      <c r="J1114" s="7" t="n">
        <v>0.15</v>
      </c>
      <c r="K1114" s="8" t="n">
        <f aca="false">H1114*I1114*(1-J1114)</f>
        <v>1528.3</v>
      </c>
      <c r="L1114" s="6" t="n">
        <f aca="false">H1114*INDEX(Products!$E$2:$E$9,MATCH(E1114,Products!$A$2:$A$9,0))</f>
        <v>1224</v>
      </c>
      <c r="M1114" s="8" t="n">
        <f aca="false">K1114-L1114</f>
        <v>304.3</v>
      </c>
      <c r="N1114" s="2" t="s">
        <v>38</v>
      </c>
      <c r="O1114" s="2" t="s">
        <v>72</v>
      </c>
    </row>
    <row r="1115" customFormat="false" ht="15" hidden="false" customHeight="false" outlineLevel="0" collapsed="false">
      <c r="A1115" s="2" t="s">
        <v>1169</v>
      </c>
      <c r="B1115" s="3" t="n">
        <v>46115</v>
      </c>
      <c r="C1115" s="2" t="s">
        <v>16</v>
      </c>
      <c r="D1115" s="2" t="s">
        <v>25</v>
      </c>
      <c r="E1115" s="2" t="s">
        <v>49</v>
      </c>
      <c r="F1115" s="4" t="str">
        <f aca="false">INDEX(Products!$B$2:$B$9,MATCH(E1115,Products!$A$2:$A$9,0))</f>
        <v>Mounting Kit</v>
      </c>
      <c r="G1115" s="4" t="str">
        <f aca="false">INDEX(Products!$C$2:$C$9,MATCH(E1115,Products!$A$2:$A$9,0))</f>
        <v>Accessories</v>
      </c>
      <c r="H1115" s="5" t="n">
        <v>2</v>
      </c>
      <c r="I1115" s="6" t="n">
        <f aca="false">INDEX(Products!$D$2:$D$9,MATCH(E1115,Products!$A$2:$A$9,0))</f>
        <v>39</v>
      </c>
      <c r="J1115" s="7" t="n">
        <v>0.1</v>
      </c>
      <c r="K1115" s="8" t="n">
        <f aca="false">H1115*I1115*(1-J1115)</f>
        <v>70.2</v>
      </c>
      <c r="L1115" s="6" t="n">
        <f aca="false">H1115*INDEX(Products!$E$2:$E$9,MATCH(E1115,Products!$A$2:$A$9,0))</f>
        <v>63</v>
      </c>
      <c r="M1115" s="8" t="n">
        <f aca="false">K1115-L1115</f>
        <v>7.2</v>
      </c>
      <c r="N1115" s="2" t="s">
        <v>19</v>
      </c>
      <c r="O1115" s="2" t="s">
        <v>20</v>
      </c>
    </row>
    <row r="1116" customFormat="false" ht="15" hidden="false" customHeight="false" outlineLevel="0" collapsed="false">
      <c r="A1116" s="2" t="s">
        <v>1170</v>
      </c>
      <c r="B1116" s="3" t="n">
        <v>46115</v>
      </c>
      <c r="C1116" s="2" t="s">
        <v>47</v>
      </c>
      <c r="D1116" s="2" t="s">
        <v>48</v>
      </c>
      <c r="E1116" s="2" t="s">
        <v>26</v>
      </c>
      <c r="F1116" s="4" t="str">
        <f aca="false">INDEX(Products!$B$2:$B$9,MATCH(E1116,Products!$A$2:$A$9,0))</f>
        <v>Analytics Basic</v>
      </c>
      <c r="G1116" s="4" t="str">
        <f aca="false">INDEX(Products!$C$2:$C$9,MATCH(E1116,Products!$A$2:$A$9,0))</f>
        <v>Software</v>
      </c>
      <c r="H1116" s="5" t="n">
        <v>5</v>
      </c>
      <c r="I1116" s="6" t="n">
        <f aca="false">INDEX(Products!$D$2:$D$9,MATCH(E1116,Products!$A$2:$A$9,0))</f>
        <v>120</v>
      </c>
      <c r="J1116" s="7" t="n">
        <v>0</v>
      </c>
      <c r="K1116" s="8" t="n">
        <f aca="false">H1116*I1116*(1-J1116)</f>
        <v>600</v>
      </c>
      <c r="L1116" s="6" t="n">
        <f aca="false">H1116*INDEX(Products!$E$2:$E$9,MATCH(E1116,Products!$A$2:$A$9,0))</f>
        <v>90</v>
      </c>
      <c r="M1116" s="8" t="n">
        <f aca="false">K1116-L1116</f>
        <v>510</v>
      </c>
      <c r="N1116" s="2" t="s">
        <v>28</v>
      </c>
      <c r="O1116" s="2" t="s">
        <v>50</v>
      </c>
    </row>
    <row r="1117" customFormat="false" ht="15" hidden="false" customHeight="false" outlineLevel="0" collapsed="false">
      <c r="A1117" s="2" t="s">
        <v>1171</v>
      </c>
      <c r="B1117" s="3" t="n">
        <v>46115</v>
      </c>
      <c r="C1117" s="2" t="s">
        <v>30</v>
      </c>
      <c r="D1117" s="2" t="s">
        <v>31</v>
      </c>
      <c r="E1117" s="2" t="s">
        <v>18</v>
      </c>
      <c r="F1117" s="4" t="str">
        <f aca="false">INDEX(Products!$B$2:$B$9,MATCH(E1117,Products!$A$2:$A$9,0))</f>
        <v>Sensor Hub Pro</v>
      </c>
      <c r="G1117" s="4" t="str">
        <f aca="false">INDEX(Products!$C$2:$C$9,MATCH(E1117,Products!$A$2:$A$9,0))</f>
        <v>Hardware</v>
      </c>
      <c r="H1117" s="5" t="n">
        <v>1</v>
      </c>
      <c r="I1117" s="6" t="n">
        <f aca="false">INDEX(Products!$D$2:$D$9,MATCH(E1117,Products!$A$2:$A$9,0))</f>
        <v>349</v>
      </c>
      <c r="J1117" s="7" t="n">
        <v>0.1</v>
      </c>
      <c r="K1117" s="8" t="n">
        <f aca="false">H1117*I1117*(1-J1117)</f>
        <v>314.1</v>
      </c>
      <c r="L1117" s="6" t="n">
        <f aca="false">H1117*INDEX(Products!$E$2:$E$9,MATCH(E1117,Products!$A$2:$A$9,0))</f>
        <v>201</v>
      </c>
      <c r="M1117" s="8" t="n">
        <f aca="false">K1117-L1117</f>
        <v>113.1</v>
      </c>
      <c r="N1117" s="2" t="s">
        <v>19</v>
      </c>
      <c r="O1117" s="2" t="s">
        <v>33</v>
      </c>
    </row>
    <row r="1118" customFormat="false" ht="15" hidden="false" customHeight="false" outlineLevel="0" collapsed="false">
      <c r="A1118" s="2" t="s">
        <v>1172</v>
      </c>
      <c r="B1118" s="3" t="n">
        <v>46118</v>
      </c>
      <c r="C1118" s="2" t="s">
        <v>41</v>
      </c>
      <c r="D1118" s="2" t="s">
        <v>66</v>
      </c>
      <c r="E1118" s="2" t="s">
        <v>32</v>
      </c>
      <c r="F1118" s="4" t="str">
        <f aca="false">INDEX(Products!$B$2:$B$9,MATCH(E1118,Products!$A$2:$A$9,0))</f>
        <v>Analytics Plus</v>
      </c>
      <c r="G1118" s="4" t="str">
        <f aca="false">INDEX(Products!$C$2:$C$9,MATCH(E1118,Products!$A$2:$A$9,0))</f>
        <v>Software</v>
      </c>
      <c r="H1118" s="5" t="n">
        <v>3</v>
      </c>
      <c r="I1118" s="6" t="n">
        <f aca="false">INDEX(Products!$D$2:$D$9,MATCH(E1118,Products!$A$2:$A$9,0))</f>
        <v>290</v>
      </c>
      <c r="J1118" s="7" t="n">
        <v>0.05</v>
      </c>
      <c r="K1118" s="8" t="n">
        <f aca="false">H1118*I1118*(1-J1118)</f>
        <v>826.5</v>
      </c>
      <c r="L1118" s="6" t="n">
        <f aca="false">H1118*INDEX(Products!$E$2:$E$9,MATCH(E1118,Products!$A$2:$A$9,0))</f>
        <v>123</v>
      </c>
      <c r="M1118" s="8" t="n">
        <f aca="false">K1118-L1118</f>
        <v>703.5</v>
      </c>
      <c r="N1118" s="2" t="s">
        <v>28</v>
      </c>
      <c r="O1118" s="2" t="s">
        <v>43</v>
      </c>
    </row>
    <row r="1119" customFormat="false" ht="15" hidden="false" customHeight="false" outlineLevel="0" collapsed="false">
      <c r="A1119" s="2" t="s">
        <v>1173</v>
      </c>
      <c r="B1119" s="3" t="n">
        <v>46118</v>
      </c>
      <c r="C1119" s="2" t="s">
        <v>47</v>
      </c>
      <c r="D1119" s="2" t="s">
        <v>71</v>
      </c>
      <c r="E1119" s="2" t="s">
        <v>57</v>
      </c>
      <c r="F1119" s="4" t="str">
        <f aca="false">INDEX(Products!$B$2:$B$9,MATCH(E1119,Products!$A$2:$A$9,0))</f>
        <v>Edge Gateway</v>
      </c>
      <c r="G1119" s="4" t="str">
        <f aca="false">INDEX(Products!$C$2:$C$9,MATCH(E1119,Products!$A$2:$A$9,0))</f>
        <v>Hardware</v>
      </c>
      <c r="H1119" s="5" t="n">
        <v>8</v>
      </c>
      <c r="I1119" s="6" t="n">
        <f aca="false">INDEX(Products!$D$2:$D$9,MATCH(E1119,Products!$A$2:$A$9,0))</f>
        <v>899</v>
      </c>
      <c r="J1119" s="7" t="n">
        <v>0.15</v>
      </c>
      <c r="K1119" s="8" t="n">
        <f aca="false">H1119*I1119*(1-J1119)</f>
        <v>6113.2</v>
      </c>
      <c r="L1119" s="6" t="n">
        <f aca="false">H1119*INDEX(Products!$E$2:$E$9,MATCH(E1119,Products!$A$2:$A$9,0))</f>
        <v>4896</v>
      </c>
      <c r="M1119" s="8" t="n">
        <f aca="false">K1119-L1119</f>
        <v>1217.2</v>
      </c>
      <c r="N1119" s="2" t="s">
        <v>19</v>
      </c>
      <c r="O1119" s="2" t="s">
        <v>50</v>
      </c>
    </row>
    <row r="1120" customFormat="false" ht="15" hidden="false" customHeight="false" outlineLevel="0" collapsed="false">
      <c r="A1120" s="2" t="s">
        <v>1174</v>
      </c>
      <c r="B1120" s="3" t="n">
        <v>46118</v>
      </c>
      <c r="C1120" s="2" t="s">
        <v>41</v>
      </c>
      <c r="D1120" s="2" t="s">
        <v>42</v>
      </c>
      <c r="E1120" s="2" t="s">
        <v>32</v>
      </c>
      <c r="F1120" s="4" t="str">
        <f aca="false">INDEX(Products!$B$2:$B$9,MATCH(E1120,Products!$A$2:$A$9,0))</f>
        <v>Analytics Plus</v>
      </c>
      <c r="G1120" s="4" t="str">
        <f aca="false">INDEX(Products!$C$2:$C$9,MATCH(E1120,Products!$A$2:$A$9,0))</f>
        <v>Software</v>
      </c>
      <c r="H1120" s="5" t="n">
        <v>3</v>
      </c>
      <c r="I1120" s="6" t="n">
        <f aca="false">INDEX(Products!$D$2:$D$9,MATCH(E1120,Products!$A$2:$A$9,0))</f>
        <v>290</v>
      </c>
      <c r="J1120" s="7" t="n">
        <v>0.1</v>
      </c>
      <c r="K1120" s="8" t="n">
        <f aca="false">H1120*I1120*(1-J1120)</f>
        <v>783</v>
      </c>
      <c r="L1120" s="6" t="n">
        <f aca="false">H1120*INDEX(Products!$E$2:$E$9,MATCH(E1120,Products!$A$2:$A$9,0))</f>
        <v>123</v>
      </c>
      <c r="M1120" s="8" t="n">
        <f aca="false">K1120-L1120</f>
        <v>660</v>
      </c>
      <c r="N1120" s="2" t="s">
        <v>19</v>
      </c>
      <c r="O1120" s="2" t="s">
        <v>43</v>
      </c>
    </row>
    <row r="1121" customFormat="false" ht="15" hidden="false" customHeight="false" outlineLevel="0" collapsed="false">
      <c r="A1121" s="2" t="s">
        <v>1175</v>
      </c>
      <c r="B1121" s="3" t="n">
        <v>46118</v>
      </c>
      <c r="C1121" s="2" t="s">
        <v>47</v>
      </c>
      <c r="D1121" s="2" t="s">
        <v>48</v>
      </c>
      <c r="E1121" s="2" t="s">
        <v>18</v>
      </c>
      <c r="F1121" s="4" t="str">
        <f aca="false">INDEX(Products!$B$2:$B$9,MATCH(E1121,Products!$A$2:$A$9,0))</f>
        <v>Sensor Hub Pro</v>
      </c>
      <c r="G1121" s="4" t="str">
        <f aca="false">INDEX(Products!$C$2:$C$9,MATCH(E1121,Products!$A$2:$A$9,0))</f>
        <v>Hardware</v>
      </c>
      <c r="H1121" s="5" t="n">
        <v>2</v>
      </c>
      <c r="I1121" s="6" t="n">
        <f aca="false">INDEX(Products!$D$2:$D$9,MATCH(E1121,Products!$A$2:$A$9,0))</f>
        <v>349</v>
      </c>
      <c r="J1121" s="7" t="n">
        <v>0.05</v>
      </c>
      <c r="K1121" s="8" t="n">
        <f aca="false">H1121*I1121*(1-J1121)</f>
        <v>663.1</v>
      </c>
      <c r="L1121" s="6" t="n">
        <f aca="false">H1121*INDEX(Products!$E$2:$E$9,MATCH(E1121,Products!$A$2:$A$9,0))</f>
        <v>402</v>
      </c>
      <c r="M1121" s="8" t="n">
        <f aca="false">K1121-L1121</f>
        <v>261.1</v>
      </c>
      <c r="N1121" s="2" t="s">
        <v>28</v>
      </c>
      <c r="O1121" s="2" t="s">
        <v>50</v>
      </c>
    </row>
    <row r="1122" customFormat="false" ht="15" hidden="false" customHeight="false" outlineLevel="0" collapsed="false">
      <c r="A1122" s="2" t="s">
        <v>1176</v>
      </c>
      <c r="B1122" s="3" t="n">
        <v>46119</v>
      </c>
      <c r="C1122" s="2" t="s">
        <v>16</v>
      </c>
      <c r="D1122" s="2" t="s">
        <v>35</v>
      </c>
      <c r="E1122" s="2" t="s">
        <v>23</v>
      </c>
      <c r="F1122" s="4" t="str">
        <f aca="false">INDEX(Products!$B$2:$B$9,MATCH(E1122,Products!$A$2:$A$9,0))</f>
        <v>Sensor Hub S</v>
      </c>
      <c r="G1122" s="4" t="str">
        <f aca="false">INDEX(Products!$C$2:$C$9,MATCH(E1122,Products!$A$2:$A$9,0))</f>
        <v>Hardware</v>
      </c>
      <c r="H1122" s="5" t="n">
        <v>1</v>
      </c>
      <c r="I1122" s="6" t="n">
        <f aca="false">INDEX(Products!$D$2:$D$9,MATCH(E1122,Products!$A$2:$A$9,0))</f>
        <v>189</v>
      </c>
      <c r="J1122" s="7" t="n">
        <v>0.05</v>
      </c>
      <c r="K1122" s="8" t="n">
        <f aca="false">H1122*I1122*(1-J1122)</f>
        <v>179.55</v>
      </c>
      <c r="L1122" s="6" t="n">
        <f aca="false">H1122*INDEX(Products!$E$2:$E$9,MATCH(E1122,Products!$A$2:$A$9,0))</f>
        <v>98</v>
      </c>
      <c r="M1122" s="8" t="n">
        <f aca="false">K1122-L1122</f>
        <v>81.55</v>
      </c>
      <c r="N1122" s="2" t="s">
        <v>28</v>
      </c>
      <c r="O1122" s="2" t="s">
        <v>36</v>
      </c>
    </row>
    <row r="1123" customFormat="false" ht="15" hidden="false" customHeight="false" outlineLevel="0" collapsed="false">
      <c r="A1123" s="2" t="s">
        <v>1177</v>
      </c>
      <c r="B1123" s="3" t="n">
        <v>46119</v>
      </c>
      <c r="C1123" s="2" t="s">
        <v>41</v>
      </c>
      <c r="D1123" s="2" t="s">
        <v>66</v>
      </c>
      <c r="E1123" s="2" t="s">
        <v>26</v>
      </c>
      <c r="F1123" s="4" t="str">
        <f aca="false">INDEX(Products!$B$2:$B$9,MATCH(E1123,Products!$A$2:$A$9,0))</f>
        <v>Analytics Basic</v>
      </c>
      <c r="G1123" s="4" t="str">
        <f aca="false">INDEX(Products!$C$2:$C$9,MATCH(E1123,Products!$A$2:$A$9,0))</f>
        <v>Software</v>
      </c>
      <c r="H1123" s="5" t="n">
        <v>3</v>
      </c>
      <c r="I1123" s="6" t="n">
        <f aca="false">INDEX(Products!$D$2:$D$9,MATCH(E1123,Products!$A$2:$A$9,0))</f>
        <v>120</v>
      </c>
      <c r="J1123" s="7" t="n">
        <v>0.05</v>
      </c>
      <c r="K1123" s="8" t="n">
        <f aca="false">H1123*I1123*(1-J1123)</f>
        <v>342</v>
      </c>
      <c r="L1123" s="6" t="n">
        <f aca="false">H1123*INDEX(Products!$E$2:$E$9,MATCH(E1123,Products!$A$2:$A$9,0))</f>
        <v>54</v>
      </c>
      <c r="M1123" s="8" t="n">
        <f aca="false">K1123-L1123</f>
        <v>288</v>
      </c>
      <c r="N1123" s="2" t="s">
        <v>28</v>
      </c>
      <c r="O1123" s="2" t="s">
        <v>52</v>
      </c>
    </row>
    <row r="1124" customFormat="false" ht="15" hidden="false" customHeight="false" outlineLevel="0" collapsed="false">
      <c r="A1124" s="2" t="s">
        <v>1178</v>
      </c>
      <c r="B1124" s="3" t="n">
        <v>46119</v>
      </c>
      <c r="C1124" s="2" t="s">
        <v>47</v>
      </c>
      <c r="D1124" s="2" t="s">
        <v>48</v>
      </c>
      <c r="E1124" s="2" t="s">
        <v>68</v>
      </c>
      <c r="F1124" s="4" t="str">
        <f aca="false">INDEX(Products!$B$2:$B$9,MATCH(E1124,Products!$A$2:$A$9,0))</f>
        <v>Premium Support</v>
      </c>
      <c r="G1124" s="4" t="str">
        <f aca="false">INDEX(Products!$C$2:$C$9,MATCH(E1124,Products!$A$2:$A$9,0))</f>
        <v>Services</v>
      </c>
      <c r="H1124" s="5" t="n">
        <v>1</v>
      </c>
      <c r="I1124" s="6" t="n">
        <f aca="false">INDEX(Products!$D$2:$D$9,MATCH(E1124,Products!$A$2:$A$9,0))</f>
        <v>600</v>
      </c>
      <c r="J1124" s="7" t="n">
        <v>0</v>
      </c>
      <c r="K1124" s="8" t="n">
        <f aca="false">H1124*I1124*(1-J1124)</f>
        <v>600</v>
      </c>
      <c r="L1124" s="6" t="n">
        <f aca="false">H1124*INDEX(Products!$E$2:$E$9,MATCH(E1124,Products!$A$2:$A$9,0))</f>
        <v>395</v>
      </c>
      <c r="M1124" s="8" t="n">
        <f aca="false">K1124-L1124</f>
        <v>205</v>
      </c>
      <c r="N1124" s="2" t="s">
        <v>28</v>
      </c>
      <c r="O1124" s="2" t="s">
        <v>50</v>
      </c>
    </row>
    <row r="1125" customFormat="false" ht="15" hidden="false" customHeight="false" outlineLevel="0" collapsed="false">
      <c r="A1125" s="2" t="s">
        <v>1179</v>
      </c>
      <c r="B1125" s="3" t="n">
        <v>46119</v>
      </c>
      <c r="C1125" s="2" t="s">
        <v>16</v>
      </c>
      <c r="D1125" s="2" t="s">
        <v>17</v>
      </c>
      <c r="E1125" s="2" t="s">
        <v>32</v>
      </c>
      <c r="F1125" s="4" t="str">
        <f aca="false">INDEX(Products!$B$2:$B$9,MATCH(E1125,Products!$A$2:$A$9,0))</f>
        <v>Analytics Plus</v>
      </c>
      <c r="G1125" s="4" t="str">
        <f aca="false">INDEX(Products!$C$2:$C$9,MATCH(E1125,Products!$A$2:$A$9,0))</f>
        <v>Software</v>
      </c>
      <c r="H1125" s="5" t="n">
        <v>1</v>
      </c>
      <c r="I1125" s="6" t="n">
        <f aca="false">INDEX(Products!$D$2:$D$9,MATCH(E1125,Products!$A$2:$A$9,0))</f>
        <v>290</v>
      </c>
      <c r="J1125" s="7" t="n">
        <v>0</v>
      </c>
      <c r="K1125" s="8" t="n">
        <f aca="false">H1125*I1125*(1-J1125)</f>
        <v>290</v>
      </c>
      <c r="L1125" s="6" t="n">
        <f aca="false">H1125*INDEX(Products!$E$2:$E$9,MATCH(E1125,Products!$A$2:$A$9,0))</f>
        <v>41</v>
      </c>
      <c r="M1125" s="8" t="n">
        <f aca="false">K1125-L1125</f>
        <v>249</v>
      </c>
      <c r="N1125" s="2" t="s">
        <v>38</v>
      </c>
      <c r="O1125" s="2" t="s">
        <v>20</v>
      </c>
    </row>
    <row r="1126" customFormat="false" ht="15" hidden="false" customHeight="false" outlineLevel="0" collapsed="false">
      <c r="A1126" s="2" t="s">
        <v>1180</v>
      </c>
      <c r="B1126" s="3" t="n">
        <v>46120</v>
      </c>
      <c r="C1126" s="2" t="s">
        <v>16</v>
      </c>
      <c r="D1126" s="2" t="s">
        <v>35</v>
      </c>
      <c r="E1126" s="2" t="s">
        <v>23</v>
      </c>
      <c r="F1126" s="4" t="str">
        <f aca="false">INDEX(Products!$B$2:$B$9,MATCH(E1126,Products!$A$2:$A$9,0))</f>
        <v>Sensor Hub S</v>
      </c>
      <c r="G1126" s="4" t="str">
        <f aca="false">INDEX(Products!$C$2:$C$9,MATCH(E1126,Products!$A$2:$A$9,0))</f>
        <v>Hardware</v>
      </c>
      <c r="H1126" s="5" t="n">
        <v>2</v>
      </c>
      <c r="I1126" s="6" t="n">
        <f aca="false">INDEX(Products!$D$2:$D$9,MATCH(E1126,Products!$A$2:$A$9,0))</f>
        <v>189</v>
      </c>
      <c r="J1126" s="7" t="n">
        <v>0.1</v>
      </c>
      <c r="K1126" s="8" t="n">
        <f aca="false">H1126*I1126*(1-J1126)</f>
        <v>340.2</v>
      </c>
      <c r="L1126" s="6" t="n">
        <f aca="false">H1126*INDEX(Products!$E$2:$E$9,MATCH(E1126,Products!$A$2:$A$9,0))</f>
        <v>196</v>
      </c>
      <c r="M1126" s="8" t="n">
        <f aca="false">K1126-L1126</f>
        <v>144.2</v>
      </c>
      <c r="N1126" s="2" t="s">
        <v>28</v>
      </c>
      <c r="O1126" s="2" t="s">
        <v>20</v>
      </c>
    </row>
    <row r="1127" customFormat="false" ht="15" hidden="false" customHeight="false" outlineLevel="0" collapsed="false">
      <c r="A1127" s="2" t="s">
        <v>1181</v>
      </c>
      <c r="B1127" s="3" t="n">
        <v>46120</v>
      </c>
      <c r="C1127" s="2" t="s">
        <v>47</v>
      </c>
      <c r="D1127" s="2" t="s">
        <v>48</v>
      </c>
      <c r="E1127" s="2" t="s">
        <v>68</v>
      </c>
      <c r="F1127" s="4" t="str">
        <f aca="false">INDEX(Products!$B$2:$B$9,MATCH(E1127,Products!$A$2:$A$9,0))</f>
        <v>Premium Support</v>
      </c>
      <c r="G1127" s="4" t="str">
        <f aca="false">INDEX(Products!$C$2:$C$9,MATCH(E1127,Products!$A$2:$A$9,0))</f>
        <v>Services</v>
      </c>
      <c r="H1127" s="5" t="n">
        <v>5</v>
      </c>
      <c r="I1127" s="6" t="n">
        <f aca="false">INDEX(Products!$D$2:$D$9,MATCH(E1127,Products!$A$2:$A$9,0))</f>
        <v>600</v>
      </c>
      <c r="J1127" s="7" t="n">
        <v>0.1</v>
      </c>
      <c r="K1127" s="8" t="n">
        <f aca="false">H1127*I1127*(1-J1127)</f>
        <v>2700</v>
      </c>
      <c r="L1127" s="6" t="n">
        <f aca="false">H1127*INDEX(Products!$E$2:$E$9,MATCH(E1127,Products!$A$2:$A$9,0))</f>
        <v>1975</v>
      </c>
      <c r="M1127" s="8" t="n">
        <f aca="false">K1127-L1127</f>
        <v>725</v>
      </c>
      <c r="N1127" s="2" t="s">
        <v>19</v>
      </c>
      <c r="O1127" s="2" t="s">
        <v>50</v>
      </c>
    </row>
    <row r="1128" customFormat="false" ht="15" hidden="false" customHeight="false" outlineLevel="0" collapsed="false">
      <c r="A1128" s="2" t="s">
        <v>1182</v>
      </c>
      <c r="B1128" s="3" t="n">
        <v>46120</v>
      </c>
      <c r="C1128" s="2" t="s">
        <v>16</v>
      </c>
      <c r="D1128" s="2" t="s">
        <v>25</v>
      </c>
      <c r="E1128" s="2" t="s">
        <v>18</v>
      </c>
      <c r="F1128" s="4" t="str">
        <f aca="false">INDEX(Products!$B$2:$B$9,MATCH(E1128,Products!$A$2:$A$9,0))</f>
        <v>Sensor Hub Pro</v>
      </c>
      <c r="G1128" s="4" t="str">
        <f aca="false">INDEX(Products!$C$2:$C$9,MATCH(E1128,Products!$A$2:$A$9,0))</f>
        <v>Hardware</v>
      </c>
      <c r="H1128" s="5" t="n">
        <v>4</v>
      </c>
      <c r="I1128" s="6" t="n">
        <f aca="false">INDEX(Products!$D$2:$D$9,MATCH(E1128,Products!$A$2:$A$9,0))</f>
        <v>349</v>
      </c>
      <c r="J1128" s="7" t="n">
        <v>0.15</v>
      </c>
      <c r="K1128" s="8" t="n">
        <f aca="false">H1128*I1128*(1-J1128)</f>
        <v>1186.6</v>
      </c>
      <c r="L1128" s="6" t="n">
        <f aca="false">H1128*INDEX(Products!$E$2:$E$9,MATCH(E1128,Products!$A$2:$A$9,0))</f>
        <v>804</v>
      </c>
      <c r="M1128" s="8" t="n">
        <f aca="false">K1128-L1128</f>
        <v>382.6</v>
      </c>
      <c r="N1128" s="2" t="s">
        <v>19</v>
      </c>
      <c r="O1128" s="2" t="s">
        <v>36</v>
      </c>
    </row>
    <row r="1129" customFormat="false" ht="15" hidden="false" customHeight="false" outlineLevel="0" collapsed="false">
      <c r="A1129" s="2" t="s">
        <v>1183</v>
      </c>
      <c r="B1129" s="3" t="n">
        <v>46120</v>
      </c>
      <c r="C1129" s="2" t="s">
        <v>47</v>
      </c>
      <c r="D1129" s="2" t="s">
        <v>48</v>
      </c>
      <c r="E1129" s="2" t="s">
        <v>26</v>
      </c>
      <c r="F1129" s="4" t="str">
        <f aca="false">INDEX(Products!$B$2:$B$9,MATCH(E1129,Products!$A$2:$A$9,0))</f>
        <v>Analytics Basic</v>
      </c>
      <c r="G1129" s="4" t="str">
        <f aca="false">INDEX(Products!$C$2:$C$9,MATCH(E1129,Products!$A$2:$A$9,0))</f>
        <v>Software</v>
      </c>
      <c r="H1129" s="5" t="n">
        <v>1</v>
      </c>
      <c r="I1129" s="6" t="n">
        <f aca="false">INDEX(Products!$D$2:$D$9,MATCH(E1129,Products!$A$2:$A$9,0))</f>
        <v>120</v>
      </c>
      <c r="J1129" s="7" t="n">
        <v>0</v>
      </c>
      <c r="K1129" s="8" t="n">
        <f aca="false">H1129*I1129*(1-J1129)</f>
        <v>120</v>
      </c>
      <c r="L1129" s="6" t="n">
        <f aca="false">H1129*INDEX(Products!$E$2:$E$9,MATCH(E1129,Products!$A$2:$A$9,0))</f>
        <v>18</v>
      </c>
      <c r="M1129" s="8" t="n">
        <f aca="false">K1129-L1129</f>
        <v>102</v>
      </c>
      <c r="N1129" s="2" t="s">
        <v>38</v>
      </c>
      <c r="O1129" s="2" t="s">
        <v>72</v>
      </c>
    </row>
    <row r="1130" customFormat="false" ht="15" hidden="false" customHeight="false" outlineLevel="0" collapsed="false">
      <c r="A1130" s="2" t="s">
        <v>1184</v>
      </c>
      <c r="B1130" s="3" t="n">
        <v>46121</v>
      </c>
      <c r="C1130" s="2" t="s">
        <v>47</v>
      </c>
      <c r="D1130" s="2" t="s">
        <v>71</v>
      </c>
      <c r="E1130" s="2" t="s">
        <v>26</v>
      </c>
      <c r="F1130" s="4" t="str">
        <f aca="false">INDEX(Products!$B$2:$B$9,MATCH(E1130,Products!$A$2:$A$9,0))</f>
        <v>Analytics Basic</v>
      </c>
      <c r="G1130" s="4" t="str">
        <f aca="false">INDEX(Products!$C$2:$C$9,MATCH(E1130,Products!$A$2:$A$9,0))</f>
        <v>Software</v>
      </c>
      <c r="H1130" s="5" t="n">
        <v>3</v>
      </c>
      <c r="I1130" s="6" t="n">
        <f aca="false">INDEX(Products!$D$2:$D$9,MATCH(E1130,Products!$A$2:$A$9,0))</f>
        <v>120</v>
      </c>
      <c r="J1130" s="7" t="n">
        <v>0.2</v>
      </c>
      <c r="K1130" s="8" t="n">
        <f aca="false">H1130*I1130*(1-J1130)</f>
        <v>288</v>
      </c>
      <c r="L1130" s="6" t="n">
        <f aca="false">H1130*INDEX(Products!$E$2:$E$9,MATCH(E1130,Products!$A$2:$A$9,0))</f>
        <v>54</v>
      </c>
      <c r="M1130" s="8" t="n">
        <f aca="false">K1130-L1130</f>
        <v>234</v>
      </c>
      <c r="N1130" s="2" t="s">
        <v>19</v>
      </c>
      <c r="O1130" s="2" t="s">
        <v>50</v>
      </c>
    </row>
    <row r="1131" customFormat="false" ht="15" hidden="false" customHeight="false" outlineLevel="0" collapsed="false">
      <c r="A1131" s="2" t="s">
        <v>1185</v>
      </c>
      <c r="B1131" s="3" t="n">
        <v>46121</v>
      </c>
      <c r="C1131" s="2" t="s">
        <v>30</v>
      </c>
      <c r="D1131" s="2" t="s">
        <v>77</v>
      </c>
      <c r="E1131" s="2" t="s">
        <v>18</v>
      </c>
      <c r="F1131" s="4" t="str">
        <f aca="false">INDEX(Products!$B$2:$B$9,MATCH(E1131,Products!$A$2:$A$9,0))</f>
        <v>Sensor Hub Pro</v>
      </c>
      <c r="G1131" s="4" t="str">
        <f aca="false">INDEX(Products!$C$2:$C$9,MATCH(E1131,Products!$A$2:$A$9,0))</f>
        <v>Hardware</v>
      </c>
      <c r="H1131" s="5" t="n">
        <v>2</v>
      </c>
      <c r="I1131" s="6" t="n">
        <f aca="false">INDEX(Products!$D$2:$D$9,MATCH(E1131,Products!$A$2:$A$9,0))</f>
        <v>349</v>
      </c>
      <c r="J1131" s="7" t="n">
        <v>0.1</v>
      </c>
      <c r="K1131" s="8" t="n">
        <f aca="false">H1131*I1131*(1-J1131)</f>
        <v>628.2</v>
      </c>
      <c r="L1131" s="6" t="n">
        <f aca="false">H1131*INDEX(Products!$E$2:$E$9,MATCH(E1131,Products!$A$2:$A$9,0))</f>
        <v>402</v>
      </c>
      <c r="M1131" s="8" t="n">
        <f aca="false">K1131-L1131</f>
        <v>226.2</v>
      </c>
      <c r="N1131" s="2" t="s">
        <v>28</v>
      </c>
      <c r="O1131" s="2" t="s">
        <v>64</v>
      </c>
    </row>
    <row r="1132" customFormat="false" ht="15" hidden="false" customHeight="false" outlineLevel="0" collapsed="false">
      <c r="A1132" s="2" t="s">
        <v>1186</v>
      </c>
      <c r="B1132" s="3" t="n">
        <v>46121</v>
      </c>
      <c r="C1132" s="2" t="s">
        <v>47</v>
      </c>
      <c r="D1132" s="2" t="s">
        <v>48</v>
      </c>
      <c r="E1132" s="2" t="s">
        <v>68</v>
      </c>
      <c r="F1132" s="4" t="str">
        <f aca="false">INDEX(Products!$B$2:$B$9,MATCH(E1132,Products!$A$2:$A$9,0))</f>
        <v>Premium Support</v>
      </c>
      <c r="G1132" s="4" t="str">
        <f aca="false">INDEX(Products!$C$2:$C$9,MATCH(E1132,Products!$A$2:$A$9,0))</f>
        <v>Services</v>
      </c>
      <c r="H1132" s="5" t="n">
        <v>1</v>
      </c>
      <c r="I1132" s="6" t="n">
        <f aca="false">INDEX(Products!$D$2:$D$9,MATCH(E1132,Products!$A$2:$A$9,0))</f>
        <v>600</v>
      </c>
      <c r="J1132" s="7" t="n">
        <v>0.05</v>
      </c>
      <c r="K1132" s="8" t="n">
        <f aca="false">H1132*I1132*(1-J1132)</f>
        <v>570</v>
      </c>
      <c r="L1132" s="6" t="n">
        <f aca="false">H1132*INDEX(Products!$E$2:$E$9,MATCH(E1132,Products!$A$2:$A$9,0))</f>
        <v>395</v>
      </c>
      <c r="M1132" s="8" t="n">
        <f aca="false">K1132-L1132</f>
        <v>175</v>
      </c>
      <c r="N1132" s="2" t="s">
        <v>28</v>
      </c>
      <c r="O1132" s="2" t="s">
        <v>50</v>
      </c>
    </row>
    <row r="1133" customFormat="false" ht="15" hidden="false" customHeight="false" outlineLevel="0" collapsed="false">
      <c r="A1133" s="2" t="s">
        <v>1187</v>
      </c>
      <c r="B1133" s="3" t="n">
        <v>46122</v>
      </c>
      <c r="C1133" s="2" t="s">
        <v>30</v>
      </c>
      <c r="D1133" s="2" t="s">
        <v>128</v>
      </c>
      <c r="E1133" s="2" t="s">
        <v>68</v>
      </c>
      <c r="F1133" s="4" t="str">
        <f aca="false">INDEX(Products!$B$2:$B$9,MATCH(E1133,Products!$A$2:$A$9,0))</f>
        <v>Premium Support</v>
      </c>
      <c r="G1133" s="4" t="str">
        <f aca="false">INDEX(Products!$C$2:$C$9,MATCH(E1133,Products!$A$2:$A$9,0))</f>
        <v>Services</v>
      </c>
      <c r="H1133" s="5" t="n">
        <v>1</v>
      </c>
      <c r="I1133" s="6" t="n">
        <f aca="false">INDEX(Products!$D$2:$D$9,MATCH(E1133,Products!$A$2:$A$9,0))</f>
        <v>600</v>
      </c>
      <c r="J1133" s="7" t="n">
        <v>0.05</v>
      </c>
      <c r="K1133" s="8" t="n">
        <f aca="false">H1133*I1133*(1-J1133)</f>
        <v>570</v>
      </c>
      <c r="L1133" s="6" t="n">
        <f aca="false">H1133*INDEX(Products!$E$2:$E$9,MATCH(E1133,Products!$A$2:$A$9,0))</f>
        <v>395</v>
      </c>
      <c r="M1133" s="8" t="n">
        <f aca="false">K1133-L1133</f>
        <v>175</v>
      </c>
      <c r="N1133" s="2" t="s">
        <v>28</v>
      </c>
      <c r="O1133" s="2" t="s">
        <v>33</v>
      </c>
    </row>
    <row r="1134" customFormat="false" ht="15" hidden="false" customHeight="false" outlineLevel="0" collapsed="false">
      <c r="A1134" s="2" t="s">
        <v>1188</v>
      </c>
      <c r="B1134" s="3" t="n">
        <v>46122</v>
      </c>
      <c r="C1134" s="2" t="s">
        <v>41</v>
      </c>
      <c r="D1134" s="2" t="s">
        <v>42</v>
      </c>
      <c r="E1134" s="2" t="s">
        <v>32</v>
      </c>
      <c r="F1134" s="4" t="str">
        <f aca="false">INDEX(Products!$B$2:$B$9,MATCH(E1134,Products!$A$2:$A$9,0))</f>
        <v>Analytics Plus</v>
      </c>
      <c r="G1134" s="4" t="str">
        <f aca="false">INDEX(Products!$C$2:$C$9,MATCH(E1134,Products!$A$2:$A$9,0))</f>
        <v>Software</v>
      </c>
      <c r="H1134" s="5" t="n">
        <v>1</v>
      </c>
      <c r="I1134" s="6" t="n">
        <f aca="false">INDEX(Products!$D$2:$D$9,MATCH(E1134,Products!$A$2:$A$9,0))</f>
        <v>290</v>
      </c>
      <c r="J1134" s="7" t="n">
        <v>0</v>
      </c>
      <c r="K1134" s="8" t="n">
        <f aca="false">H1134*I1134*(1-J1134)</f>
        <v>290</v>
      </c>
      <c r="L1134" s="6" t="n">
        <f aca="false">H1134*INDEX(Products!$E$2:$E$9,MATCH(E1134,Products!$A$2:$A$9,0))</f>
        <v>41</v>
      </c>
      <c r="M1134" s="8" t="n">
        <f aca="false">K1134-L1134</f>
        <v>249</v>
      </c>
      <c r="N1134" s="2" t="s">
        <v>28</v>
      </c>
      <c r="O1134" s="2" t="s">
        <v>43</v>
      </c>
    </row>
    <row r="1135" customFormat="false" ht="15" hidden="false" customHeight="false" outlineLevel="0" collapsed="false">
      <c r="A1135" s="2" t="s">
        <v>1189</v>
      </c>
      <c r="B1135" s="3" t="n">
        <v>46122</v>
      </c>
      <c r="C1135" s="2" t="s">
        <v>16</v>
      </c>
      <c r="D1135" s="2" t="s">
        <v>25</v>
      </c>
      <c r="E1135" s="2" t="s">
        <v>49</v>
      </c>
      <c r="F1135" s="4" t="str">
        <f aca="false">INDEX(Products!$B$2:$B$9,MATCH(E1135,Products!$A$2:$A$9,0))</f>
        <v>Mounting Kit</v>
      </c>
      <c r="G1135" s="4" t="str">
        <f aca="false">INDEX(Products!$C$2:$C$9,MATCH(E1135,Products!$A$2:$A$9,0))</f>
        <v>Accessories</v>
      </c>
      <c r="H1135" s="5" t="n">
        <v>4</v>
      </c>
      <c r="I1135" s="6" t="n">
        <f aca="false">INDEX(Products!$D$2:$D$9,MATCH(E1135,Products!$A$2:$A$9,0))</f>
        <v>39</v>
      </c>
      <c r="J1135" s="7" t="n">
        <v>0.25</v>
      </c>
      <c r="K1135" s="8" t="n">
        <f aca="false">H1135*I1135*(1-J1135)</f>
        <v>117</v>
      </c>
      <c r="L1135" s="6" t="n">
        <f aca="false">H1135*INDEX(Products!$E$2:$E$9,MATCH(E1135,Products!$A$2:$A$9,0))</f>
        <v>126</v>
      </c>
      <c r="M1135" s="8" t="n">
        <f aca="false">K1135-L1135</f>
        <v>-9</v>
      </c>
      <c r="N1135" s="2" t="s">
        <v>19</v>
      </c>
      <c r="O1135" s="2" t="s">
        <v>20</v>
      </c>
    </row>
    <row r="1136" customFormat="false" ht="15" hidden="false" customHeight="false" outlineLevel="0" collapsed="false">
      <c r="A1136" s="2" t="s">
        <v>1190</v>
      </c>
      <c r="B1136" s="3" t="n">
        <v>46123</v>
      </c>
      <c r="C1136" s="2" t="s">
        <v>47</v>
      </c>
      <c r="D1136" s="2" t="s">
        <v>71</v>
      </c>
      <c r="E1136" s="2" t="s">
        <v>26</v>
      </c>
      <c r="F1136" s="4" t="str">
        <f aca="false">INDEX(Products!$B$2:$B$9,MATCH(E1136,Products!$A$2:$A$9,0))</f>
        <v>Analytics Basic</v>
      </c>
      <c r="G1136" s="4" t="str">
        <f aca="false">INDEX(Products!$C$2:$C$9,MATCH(E1136,Products!$A$2:$A$9,0))</f>
        <v>Software</v>
      </c>
      <c r="H1136" s="5" t="n">
        <v>1</v>
      </c>
      <c r="I1136" s="6" t="n">
        <f aca="false">INDEX(Products!$D$2:$D$9,MATCH(E1136,Products!$A$2:$A$9,0))</f>
        <v>120</v>
      </c>
      <c r="J1136" s="7" t="n">
        <v>0</v>
      </c>
      <c r="K1136" s="8" t="n">
        <f aca="false">H1136*I1136*(1-J1136)</f>
        <v>120</v>
      </c>
      <c r="L1136" s="6" t="n">
        <f aca="false">H1136*INDEX(Products!$E$2:$E$9,MATCH(E1136,Products!$A$2:$A$9,0))</f>
        <v>18</v>
      </c>
      <c r="M1136" s="8" t="n">
        <f aca="false">K1136-L1136</f>
        <v>102</v>
      </c>
      <c r="N1136" s="2" t="s">
        <v>28</v>
      </c>
      <c r="O1136" s="2" t="s">
        <v>50</v>
      </c>
    </row>
    <row r="1137" customFormat="false" ht="15" hidden="false" customHeight="false" outlineLevel="0" collapsed="false">
      <c r="A1137" s="2" t="s">
        <v>1191</v>
      </c>
      <c r="B1137" s="3" t="n">
        <v>46125</v>
      </c>
      <c r="C1137" s="2" t="s">
        <v>16</v>
      </c>
      <c r="D1137" s="2" t="s">
        <v>17</v>
      </c>
      <c r="E1137" s="2" t="s">
        <v>32</v>
      </c>
      <c r="F1137" s="4" t="str">
        <f aca="false">INDEX(Products!$B$2:$B$9,MATCH(E1137,Products!$A$2:$A$9,0))</f>
        <v>Analytics Plus</v>
      </c>
      <c r="G1137" s="4" t="str">
        <f aca="false">INDEX(Products!$C$2:$C$9,MATCH(E1137,Products!$A$2:$A$9,0))</f>
        <v>Software</v>
      </c>
      <c r="H1137" s="5" t="n">
        <v>2</v>
      </c>
      <c r="I1137" s="6" t="n">
        <f aca="false">INDEX(Products!$D$2:$D$9,MATCH(E1137,Products!$A$2:$A$9,0))</f>
        <v>290</v>
      </c>
      <c r="J1137" s="7" t="n">
        <v>0</v>
      </c>
      <c r="K1137" s="8" t="n">
        <f aca="false">H1137*I1137*(1-J1137)</f>
        <v>580</v>
      </c>
      <c r="L1137" s="6" t="n">
        <f aca="false">H1137*INDEX(Products!$E$2:$E$9,MATCH(E1137,Products!$A$2:$A$9,0))</f>
        <v>82</v>
      </c>
      <c r="M1137" s="8" t="n">
        <f aca="false">K1137-L1137</f>
        <v>498</v>
      </c>
      <c r="N1137" s="2" t="s">
        <v>28</v>
      </c>
      <c r="O1137" s="2" t="s">
        <v>20</v>
      </c>
    </row>
    <row r="1138" customFormat="false" ht="15" hidden="false" customHeight="false" outlineLevel="0" collapsed="false">
      <c r="A1138" s="2" t="s">
        <v>1192</v>
      </c>
      <c r="B1138" s="3" t="n">
        <v>46125</v>
      </c>
      <c r="C1138" s="2" t="s">
        <v>16</v>
      </c>
      <c r="D1138" s="2" t="s">
        <v>17</v>
      </c>
      <c r="E1138" s="2" t="s">
        <v>18</v>
      </c>
      <c r="F1138" s="4" t="str">
        <f aca="false">INDEX(Products!$B$2:$B$9,MATCH(E1138,Products!$A$2:$A$9,0))</f>
        <v>Sensor Hub Pro</v>
      </c>
      <c r="G1138" s="4" t="str">
        <f aca="false">INDEX(Products!$C$2:$C$9,MATCH(E1138,Products!$A$2:$A$9,0))</f>
        <v>Hardware</v>
      </c>
      <c r="H1138" s="5" t="n">
        <v>20</v>
      </c>
      <c r="I1138" s="6" t="n">
        <f aca="false">INDEX(Products!$D$2:$D$9,MATCH(E1138,Products!$A$2:$A$9,0))</f>
        <v>349</v>
      </c>
      <c r="J1138" s="7" t="n">
        <v>0.15</v>
      </c>
      <c r="K1138" s="8" t="n">
        <f aca="false">H1138*I1138*(1-J1138)</f>
        <v>5933</v>
      </c>
      <c r="L1138" s="6" t="n">
        <f aca="false">H1138*INDEX(Products!$E$2:$E$9,MATCH(E1138,Products!$A$2:$A$9,0))</f>
        <v>4020</v>
      </c>
      <c r="M1138" s="8" t="n">
        <f aca="false">K1138-L1138</f>
        <v>1913</v>
      </c>
      <c r="N1138" s="2" t="s">
        <v>19</v>
      </c>
      <c r="O1138" s="2" t="s">
        <v>20</v>
      </c>
    </row>
    <row r="1139" customFormat="false" ht="15" hidden="false" customHeight="false" outlineLevel="0" collapsed="false">
      <c r="A1139" s="2" t="s">
        <v>1193</v>
      </c>
      <c r="B1139" s="3" t="n">
        <v>46125</v>
      </c>
      <c r="C1139" s="2" t="s">
        <v>47</v>
      </c>
      <c r="D1139" s="2" t="s">
        <v>48</v>
      </c>
      <c r="E1139" s="2" t="s">
        <v>23</v>
      </c>
      <c r="F1139" s="4" t="str">
        <f aca="false">INDEX(Products!$B$2:$B$9,MATCH(E1139,Products!$A$2:$A$9,0))</f>
        <v>Sensor Hub S</v>
      </c>
      <c r="G1139" s="4" t="str">
        <f aca="false">INDEX(Products!$C$2:$C$9,MATCH(E1139,Products!$A$2:$A$9,0))</f>
        <v>Hardware</v>
      </c>
      <c r="H1139" s="5" t="n">
        <v>5</v>
      </c>
      <c r="I1139" s="6" t="n">
        <f aca="false">INDEX(Products!$D$2:$D$9,MATCH(E1139,Products!$A$2:$A$9,0))</f>
        <v>189</v>
      </c>
      <c r="J1139" s="7" t="n">
        <v>0</v>
      </c>
      <c r="K1139" s="8" t="n">
        <f aca="false">H1139*I1139*(1-J1139)</f>
        <v>945</v>
      </c>
      <c r="L1139" s="6" t="n">
        <f aca="false">H1139*INDEX(Products!$E$2:$E$9,MATCH(E1139,Products!$A$2:$A$9,0))</f>
        <v>490</v>
      </c>
      <c r="M1139" s="8" t="n">
        <f aca="false">K1139-L1139</f>
        <v>455</v>
      </c>
      <c r="N1139" s="2" t="s">
        <v>28</v>
      </c>
      <c r="O1139" s="2" t="s">
        <v>50</v>
      </c>
    </row>
    <row r="1140" customFormat="false" ht="15" hidden="false" customHeight="false" outlineLevel="0" collapsed="false">
      <c r="A1140" s="2" t="s">
        <v>1194</v>
      </c>
      <c r="B1140" s="3" t="n">
        <v>46126</v>
      </c>
      <c r="C1140" s="2" t="s">
        <v>59</v>
      </c>
      <c r="D1140" s="2" t="s">
        <v>91</v>
      </c>
      <c r="E1140" s="2" t="s">
        <v>68</v>
      </c>
      <c r="F1140" s="4" t="str">
        <f aca="false">INDEX(Products!$B$2:$B$9,MATCH(E1140,Products!$A$2:$A$9,0))</f>
        <v>Premium Support</v>
      </c>
      <c r="G1140" s="4" t="str">
        <f aca="false">INDEX(Products!$C$2:$C$9,MATCH(E1140,Products!$A$2:$A$9,0))</f>
        <v>Services</v>
      </c>
      <c r="H1140" s="5" t="n">
        <v>1</v>
      </c>
      <c r="I1140" s="6" t="n">
        <f aca="false">INDEX(Products!$D$2:$D$9,MATCH(E1140,Products!$A$2:$A$9,0))</f>
        <v>600</v>
      </c>
      <c r="J1140" s="7" t="n">
        <v>0</v>
      </c>
      <c r="K1140" s="8" t="n">
        <f aca="false">H1140*I1140*(1-J1140)</f>
        <v>600</v>
      </c>
      <c r="L1140" s="6" t="n">
        <f aca="false">H1140*INDEX(Products!$E$2:$E$9,MATCH(E1140,Products!$A$2:$A$9,0))</f>
        <v>395</v>
      </c>
      <c r="M1140" s="8" t="n">
        <f aca="false">K1140-L1140</f>
        <v>205</v>
      </c>
      <c r="N1140" s="2" t="s">
        <v>38</v>
      </c>
      <c r="O1140" s="2" t="s">
        <v>62</v>
      </c>
    </row>
    <row r="1141" customFormat="false" ht="15" hidden="false" customHeight="false" outlineLevel="0" collapsed="false">
      <c r="A1141" s="2" t="s">
        <v>1195</v>
      </c>
      <c r="B1141" s="3" t="n">
        <v>46126</v>
      </c>
      <c r="C1141" s="2" t="s">
        <v>16</v>
      </c>
      <c r="D1141" s="2" t="s">
        <v>25</v>
      </c>
      <c r="E1141" s="2" t="s">
        <v>26</v>
      </c>
      <c r="F1141" s="4" t="str">
        <f aca="false">INDEX(Products!$B$2:$B$9,MATCH(E1141,Products!$A$2:$A$9,0))</f>
        <v>Analytics Basic</v>
      </c>
      <c r="G1141" s="4" t="str">
        <f aca="false">INDEX(Products!$C$2:$C$9,MATCH(E1141,Products!$A$2:$A$9,0))</f>
        <v>Software</v>
      </c>
      <c r="H1141" s="5" t="n">
        <v>1</v>
      </c>
      <c r="I1141" s="6" t="n">
        <f aca="false">INDEX(Products!$D$2:$D$9,MATCH(E1141,Products!$A$2:$A$9,0))</f>
        <v>120</v>
      </c>
      <c r="J1141" s="7" t="n">
        <v>0.15</v>
      </c>
      <c r="K1141" s="8" t="n">
        <f aca="false">H1141*I1141*(1-J1141)</f>
        <v>102</v>
      </c>
      <c r="L1141" s="6" t="n">
        <f aca="false">H1141*INDEX(Products!$E$2:$E$9,MATCH(E1141,Products!$A$2:$A$9,0))</f>
        <v>18</v>
      </c>
      <c r="M1141" s="8" t="n">
        <f aca="false">K1141-L1141</f>
        <v>84</v>
      </c>
      <c r="N1141" s="2" t="s">
        <v>19</v>
      </c>
      <c r="O1141" s="2" t="s">
        <v>20</v>
      </c>
    </row>
    <row r="1142" customFormat="false" ht="15" hidden="false" customHeight="false" outlineLevel="0" collapsed="false">
      <c r="A1142" s="2" t="s">
        <v>1196</v>
      </c>
      <c r="B1142" s="3" t="n">
        <v>46126</v>
      </c>
      <c r="C1142" s="2" t="s">
        <v>16</v>
      </c>
      <c r="D1142" s="2" t="s">
        <v>22</v>
      </c>
      <c r="E1142" s="2" t="s">
        <v>49</v>
      </c>
      <c r="F1142" s="4" t="str">
        <f aca="false">INDEX(Products!$B$2:$B$9,MATCH(E1142,Products!$A$2:$A$9,0))</f>
        <v>Mounting Kit</v>
      </c>
      <c r="G1142" s="4" t="str">
        <f aca="false">INDEX(Products!$C$2:$C$9,MATCH(E1142,Products!$A$2:$A$9,0))</f>
        <v>Accessories</v>
      </c>
      <c r="H1142" s="5" t="n">
        <v>8</v>
      </c>
      <c r="I1142" s="6" t="n">
        <f aca="false">INDEX(Products!$D$2:$D$9,MATCH(E1142,Products!$A$2:$A$9,0))</f>
        <v>39</v>
      </c>
      <c r="J1142" s="7" t="n">
        <v>0.05</v>
      </c>
      <c r="K1142" s="8" t="n">
        <f aca="false">H1142*I1142*(1-J1142)</f>
        <v>296.4</v>
      </c>
      <c r="L1142" s="6" t="n">
        <f aca="false">H1142*INDEX(Products!$E$2:$E$9,MATCH(E1142,Products!$A$2:$A$9,0))</f>
        <v>252</v>
      </c>
      <c r="M1142" s="8" t="n">
        <f aca="false">K1142-L1142</f>
        <v>44.4</v>
      </c>
      <c r="N1142" s="2" t="s">
        <v>28</v>
      </c>
      <c r="O1142" s="2" t="s">
        <v>20</v>
      </c>
    </row>
    <row r="1143" customFormat="false" ht="15" hidden="false" customHeight="false" outlineLevel="0" collapsed="false">
      <c r="A1143" s="2" t="s">
        <v>1197</v>
      </c>
      <c r="B1143" s="3" t="n">
        <v>46127</v>
      </c>
      <c r="C1143" s="2" t="s">
        <v>30</v>
      </c>
      <c r="D1143" s="2" t="s">
        <v>128</v>
      </c>
      <c r="E1143" s="2" t="s">
        <v>68</v>
      </c>
      <c r="F1143" s="4" t="str">
        <f aca="false">INDEX(Products!$B$2:$B$9,MATCH(E1143,Products!$A$2:$A$9,0))</f>
        <v>Premium Support</v>
      </c>
      <c r="G1143" s="4" t="str">
        <f aca="false">INDEX(Products!$C$2:$C$9,MATCH(E1143,Products!$A$2:$A$9,0))</f>
        <v>Services</v>
      </c>
      <c r="H1143" s="5" t="n">
        <v>2</v>
      </c>
      <c r="I1143" s="6" t="n">
        <f aca="false">INDEX(Products!$D$2:$D$9,MATCH(E1143,Products!$A$2:$A$9,0))</f>
        <v>600</v>
      </c>
      <c r="J1143" s="7" t="n">
        <v>0</v>
      </c>
      <c r="K1143" s="8" t="n">
        <f aca="false">H1143*I1143*(1-J1143)</f>
        <v>1200</v>
      </c>
      <c r="L1143" s="6" t="n">
        <f aca="false">H1143*INDEX(Products!$E$2:$E$9,MATCH(E1143,Products!$A$2:$A$9,0))</f>
        <v>790</v>
      </c>
      <c r="M1143" s="8" t="n">
        <f aca="false">K1143-L1143</f>
        <v>410</v>
      </c>
      <c r="N1143" s="2" t="s">
        <v>28</v>
      </c>
      <c r="O1143" s="2" t="s">
        <v>64</v>
      </c>
    </row>
    <row r="1144" customFormat="false" ht="15" hidden="false" customHeight="false" outlineLevel="0" collapsed="false">
      <c r="A1144" s="2" t="s">
        <v>1198</v>
      </c>
      <c r="B1144" s="3" t="n">
        <v>46127</v>
      </c>
      <c r="C1144" s="2" t="s">
        <v>16</v>
      </c>
      <c r="D1144" s="2" t="s">
        <v>35</v>
      </c>
      <c r="E1144" s="2" t="s">
        <v>49</v>
      </c>
      <c r="F1144" s="4" t="str">
        <f aca="false">INDEX(Products!$B$2:$B$9,MATCH(E1144,Products!$A$2:$A$9,0))</f>
        <v>Mounting Kit</v>
      </c>
      <c r="G1144" s="4" t="str">
        <f aca="false">INDEX(Products!$C$2:$C$9,MATCH(E1144,Products!$A$2:$A$9,0))</f>
        <v>Accessories</v>
      </c>
      <c r="H1144" s="5" t="n">
        <v>8</v>
      </c>
      <c r="I1144" s="6" t="n">
        <f aca="false">INDEX(Products!$D$2:$D$9,MATCH(E1144,Products!$A$2:$A$9,0))</f>
        <v>39</v>
      </c>
      <c r="J1144" s="7" t="n">
        <v>0.15</v>
      </c>
      <c r="K1144" s="8" t="n">
        <f aca="false">H1144*I1144*(1-J1144)</f>
        <v>265.2</v>
      </c>
      <c r="L1144" s="6" t="n">
        <f aca="false">H1144*INDEX(Products!$E$2:$E$9,MATCH(E1144,Products!$A$2:$A$9,0))</f>
        <v>252</v>
      </c>
      <c r="M1144" s="8" t="n">
        <f aca="false">K1144-L1144</f>
        <v>13.2</v>
      </c>
      <c r="N1144" s="2" t="s">
        <v>28</v>
      </c>
      <c r="O1144" s="2" t="s">
        <v>20</v>
      </c>
    </row>
    <row r="1145" customFormat="false" ht="15" hidden="false" customHeight="false" outlineLevel="0" collapsed="false">
      <c r="A1145" s="2" t="s">
        <v>1199</v>
      </c>
      <c r="B1145" s="3" t="n">
        <v>46127</v>
      </c>
      <c r="C1145" s="2" t="s">
        <v>41</v>
      </c>
      <c r="D1145" s="2" t="s">
        <v>66</v>
      </c>
      <c r="E1145" s="2" t="s">
        <v>68</v>
      </c>
      <c r="F1145" s="4" t="str">
        <f aca="false">INDEX(Products!$B$2:$B$9,MATCH(E1145,Products!$A$2:$A$9,0))</f>
        <v>Premium Support</v>
      </c>
      <c r="G1145" s="4" t="str">
        <f aca="false">INDEX(Products!$C$2:$C$9,MATCH(E1145,Products!$A$2:$A$9,0))</f>
        <v>Services</v>
      </c>
      <c r="H1145" s="5" t="n">
        <v>1</v>
      </c>
      <c r="I1145" s="6" t="n">
        <f aca="false">INDEX(Products!$D$2:$D$9,MATCH(E1145,Products!$A$2:$A$9,0))</f>
        <v>600</v>
      </c>
      <c r="J1145" s="7" t="n">
        <v>0</v>
      </c>
      <c r="K1145" s="8" t="n">
        <f aca="false">H1145*I1145*(1-J1145)</f>
        <v>600</v>
      </c>
      <c r="L1145" s="6" t="n">
        <f aca="false">H1145*INDEX(Products!$E$2:$E$9,MATCH(E1145,Products!$A$2:$A$9,0))</f>
        <v>395</v>
      </c>
      <c r="M1145" s="8" t="n">
        <f aca="false">K1145-L1145</f>
        <v>205</v>
      </c>
      <c r="N1145" s="2" t="s">
        <v>28</v>
      </c>
      <c r="O1145" s="2" t="s">
        <v>52</v>
      </c>
    </row>
    <row r="1146" customFormat="false" ht="15" hidden="false" customHeight="false" outlineLevel="0" collapsed="false">
      <c r="A1146" s="2" t="s">
        <v>1200</v>
      </c>
      <c r="B1146" s="3" t="n">
        <v>46128</v>
      </c>
      <c r="C1146" s="2" t="s">
        <v>41</v>
      </c>
      <c r="D1146" s="2" t="s">
        <v>42</v>
      </c>
      <c r="E1146" s="2" t="s">
        <v>23</v>
      </c>
      <c r="F1146" s="4" t="str">
        <f aca="false">INDEX(Products!$B$2:$B$9,MATCH(E1146,Products!$A$2:$A$9,0))</f>
        <v>Sensor Hub S</v>
      </c>
      <c r="G1146" s="4" t="str">
        <f aca="false">INDEX(Products!$C$2:$C$9,MATCH(E1146,Products!$A$2:$A$9,0))</f>
        <v>Hardware</v>
      </c>
      <c r="H1146" s="5" t="n">
        <v>1</v>
      </c>
      <c r="I1146" s="6" t="n">
        <f aca="false">INDEX(Products!$D$2:$D$9,MATCH(E1146,Products!$A$2:$A$9,0))</f>
        <v>189</v>
      </c>
      <c r="J1146" s="7" t="n">
        <v>0.15</v>
      </c>
      <c r="K1146" s="8" t="n">
        <f aca="false">H1146*I1146*(1-J1146)</f>
        <v>160.65</v>
      </c>
      <c r="L1146" s="6" t="n">
        <f aca="false">H1146*INDEX(Products!$E$2:$E$9,MATCH(E1146,Products!$A$2:$A$9,0))</f>
        <v>98</v>
      </c>
      <c r="M1146" s="8" t="n">
        <f aca="false">K1146-L1146</f>
        <v>62.65</v>
      </c>
      <c r="N1146" s="2" t="s">
        <v>28</v>
      </c>
      <c r="O1146" s="2" t="s">
        <v>52</v>
      </c>
    </row>
    <row r="1147" customFormat="false" ht="15" hidden="false" customHeight="false" outlineLevel="0" collapsed="false">
      <c r="A1147" s="2" t="s">
        <v>1201</v>
      </c>
      <c r="B1147" s="3" t="n">
        <v>46128</v>
      </c>
      <c r="C1147" s="2" t="s">
        <v>30</v>
      </c>
      <c r="D1147" s="2" t="s">
        <v>128</v>
      </c>
      <c r="E1147" s="2" t="s">
        <v>26</v>
      </c>
      <c r="F1147" s="4" t="str">
        <f aca="false">INDEX(Products!$B$2:$B$9,MATCH(E1147,Products!$A$2:$A$9,0))</f>
        <v>Analytics Basic</v>
      </c>
      <c r="G1147" s="4" t="str">
        <f aca="false">INDEX(Products!$C$2:$C$9,MATCH(E1147,Products!$A$2:$A$9,0))</f>
        <v>Software</v>
      </c>
      <c r="H1147" s="5" t="n">
        <v>5</v>
      </c>
      <c r="I1147" s="6" t="n">
        <f aca="false">INDEX(Products!$D$2:$D$9,MATCH(E1147,Products!$A$2:$A$9,0))</f>
        <v>120</v>
      </c>
      <c r="J1147" s="7" t="n">
        <v>0.1</v>
      </c>
      <c r="K1147" s="8" t="n">
        <f aca="false">H1147*I1147*(1-J1147)</f>
        <v>540</v>
      </c>
      <c r="L1147" s="6" t="n">
        <f aca="false">H1147*INDEX(Products!$E$2:$E$9,MATCH(E1147,Products!$A$2:$A$9,0))</f>
        <v>90</v>
      </c>
      <c r="M1147" s="8" t="n">
        <f aca="false">K1147-L1147</f>
        <v>450</v>
      </c>
      <c r="N1147" s="2" t="s">
        <v>38</v>
      </c>
      <c r="O1147" s="2" t="s">
        <v>64</v>
      </c>
    </row>
    <row r="1148" customFormat="false" ht="15" hidden="false" customHeight="false" outlineLevel="0" collapsed="false">
      <c r="A1148" s="2" t="s">
        <v>1202</v>
      </c>
      <c r="B1148" s="3" t="n">
        <v>46129</v>
      </c>
      <c r="C1148" s="2" t="s">
        <v>30</v>
      </c>
      <c r="D1148" s="2" t="s">
        <v>31</v>
      </c>
      <c r="E1148" s="2" t="s">
        <v>26</v>
      </c>
      <c r="F1148" s="4" t="str">
        <f aca="false">INDEX(Products!$B$2:$B$9,MATCH(E1148,Products!$A$2:$A$9,0))</f>
        <v>Analytics Basic</v>
      </c>
      <c r="G1148" s="4" t="str">
        <f aca="false">INDEX(Products!$C$2:$C$9,MATCH(E1148,Products!$A$2:$A$9,0))</f>
        <v>Software</v>
      </c>
      <c r="H1148" s="5" t="n">
        <v>3</v>
      </c>
      <c r="I1148" s="6" t="n">
        <f aca="false">INDEX(Products!$D$2:$D$9,MATCH(E1148,Products!$A$2:$A$9,0))</f>
        <v>120</v>
      </c>
      <c r="J1148" s="7" t="n">
        <v>0</v>
      </c>
      <c r="K1148" s="8" t="n">
        <f aca="false">H1148*I1148*(1-J1148)</f>
        <v>360</v>
      </c>
      <c r="L1148" s="6" t="n">
        <f aca="false">H1148*INDEX(Products!$E$2:$E$9,MATCH(E1148,Products!$A$2:$A$9,0))</f>
        <v>54</v>
      </c>
      <c r="M1148" s="8" t="n">
        <f aca="false">K1148-L1148</f>
        <v>306</v>
      </c>
      <c r="N1148" s="2" t="s">
        <v>28</v>
      </c>
      <c r="O1148" s="2" t="s">
        <v>64</v>
      </c>
    </row>
    <row r="1149" customFormat="false" ht="15" hidden="false" customHeight="false" outlineLevel="0" collapsed="false">
      <c r="A1149" s="2" t="s">
        <v>1203</v>
      </c>
      <c r="B1149" s="3" t="n">
        <v>46129</v>
      </c>
      <c r="C1149" s="2" t="s">
        <v>47</v>
      </c>
      <c r="D1149" s="2" t="s">
        <v>48</v>
      </c>
      <c r="E1149" s="2" t="s">
        <v>61</v>
      </c>
      <c r="F1149" s="4" t="str">
        <f aca="false">INDEX(Products!$B$2:$B$9,MATCH(E1149,Products!$A$2:$A$9,0))</f>
        <v>Install Service</v>
      </c>
      <c r="G1149" s="4" t="str">
        <f aca="false">INDEX(Products!$C$2:$C$9,MATCH(E1149,Products!$A$2:$A$9,0))</f>
        <v>Services</v>
      </c>
      <c r="H1149" s="5" t="n">
        <v>2</v>
      </c>
      <c r="I1149" s="6" t="n">
        <f aca="false">INDEX(Products!$D$2:$D$9,MATCH(E1149,Products!$A$2:$A$9,0))</f>
        <v>450</v>
      </c>
      <c r="J1149" s="7" t="n">
        <v>0</v>
      </c>
      <c r="K1149" s="8" t="n">
        <f aca="false">H1149*I1149*(1-J1149)</f>
        <v>900</v>
      </c>
      <c r="L1149" s="6" t="n">
        <f aca="false">H1149*INDEX(Products!$E$2:$E$9,MATCH(E1149,Products!$A$2:$A$9,0))</f>
        <v>620</v>
      </c>
      <c r="M1149" s="8" t="n">
        <f aca="false">K1149-L1149</f>
        <v>280</v>
      </c>
      <c r="N1149" s="2" t="s">
        <v>28</v>
      </c>
      <c r="O1149" s="2" t="s">
        <v>72</v>
      </c>
    </row>
    <row r="1150" customFormat="false" ht="15" hidden="false" customHeight="false" outlineLevel="0" collapsed="false">
      <c r="A1150" s="2" t="s">
        <v>1204</v>
      </c>
      <c r="B1150" s="3" t="n">
        <v>46129</v>
      </c>
      <c r="C1150" s="2" t="s">
        <v>47</v>
      </c>
      <c r="D1150" s="2" t="s">
        <v>157</v>
      </c>
      <c r="E1150" s="2" t="s">
        <v>23</v>
      </c>
      <c r="F1150" s="4" t="str">
        <f aca="false">INDEX(Products!$B$2:$B$9,MATCH(E1150,Products!$A$2:$A$9,0))</f>
        <v>Sensor Hub S</v>
      </c>
      <c r="G1150" s="4" t="str">
        <f aca="false">INDEX(Products!$C$2:$C$9,MATCH(E1150,Products!$A$2:$A$9,0))</f>
        <v>Hardware</v>
      </c>
      <c r="H1150" s="5" t="n">
        <v>20</v>
      </c>
      <c r="I1150" s="6" t="n">
        <f aca="false">INDEX(Products!$D$2:$D$9,MATCH(E1150,Products!$A$2:$A$9,0))</f>
        <v>189</v>
      </c>
      <c r="J1150" s="7" t="n">
        <v>0.15</v>
      </c>
      <c r="K1150" s="8" t="n">
        <f aca="false">H1150*I1150*(1-J1150)</f>
        <v>3213</v>
      </c>
      <c r="L1150" s="6" t="n">
        <f aca="false">H1150*INDEX(Products!$E$2:$E$9,MATCH(E1150,Products!$A$2:$A$9,0))</f>
        <v>1960</v>
      </c>
      <c r="M1150" s="8" t="n">
        <f aca="false">K1150-L1150</f>
        <v>1253</v>
      </c>
      <c r="N1150" s="2" t="s">
        <v>19</v>
      </c>
      <c r="O1150" s="2" t="s">
        <v>50</v>
      </c>
    </row>
    <row r="1151" customFormat="false" ht="15" hidden="false" customHeight="false" outlineLevel="0" collapsed="false">
      <c r="A1151" s="2" t="s">
        <v>1205</v>
      </c>
      <c r="B1151" s="3" t="n">
        <v>46129</v>
      </c>
      <c r="C1151" s="2" t="s">
        <v>30</v>
      </c>
      <c r="D1151" s="2" t="s">
        <v>31</v>
      </c>
      <c r="E1151" s="2" t="s">
        <v>57</v>
      </c>
      <c r="F1151" s="4" t="str">
        <f aca="false">INDEX(Products!$B$2:$B$9,MATCH(E1151,Products!$A$2:$A$9,0))</f>
        <v>Edge Gateway</v>
      </c>
      <c r="G1151" s="4" t="str">
        <f aca="false">INDEX(Products!$C$2:$C$9,MATCH(E1151,Products!$A$2:$A$9,0))</f>
        <v>Hardware</v>
      </c>
      <c r="H1151" s="5" t="n">
        <v>1</v>
      </c>
      <c r="I1151" s="6" t="n">
        <f aca="false">INDEX(Products!$D$2:$D$9,MATCH(E1151,Products!$A$2:$A$9,0))</f>
        <v>899</v>
      </c>
      <c r="J1151" s="7" t="n">
        <v>0.25</v>
      </c>
      <c r="K1151" s="8" t="n">
        <f aca="false">H1151*I1151*(1-J1151)</f>
        <v>674.25</v>
      </c>
      <c r="L1151" s="6" t="n">
        <f aca="false">H1151*INDEX(Products!$E$2:$E$9,MATCH(E1151,Products!$A$2:$A$9,0))</f>
        <v>612</v>
      </c>
      <c r="M1151" s="8" t="n">
        <f aca="false">K1151-L1151</f>
        <v>62.25</v>
      </c>
      <c r="N1151" s="2" t="s">
        <v>28</v>
      </c>
      <c r="O1151" s="2" t="s">
        <v>33</v>
      </c>
    </row>
    <row r="1152" customFormat="false" ht="15" hidden="false" customHeight="false" outlineLevel="0" collapsed="false">
      <c r="A1152" s="2" t="s">
        <v>1206</v>
      </c>
      <c r="B1152" s="3" t="n">
        <v>46131</v>
      </c>
      <c r="C1152" s="2" t="s">
        <v>41</v>
      </c>
      <c r="D1152" s="2" t="s">
        <v>66</v>
      </c>
      <c r="E1152" s="2" t="s">
        <v>61</v>
      </c>
      <c r="F1152" s="4" t="str">
        <f aca="false">INDEX(Products!$B$2:$B$9,MATCH(E1152,Products!$A$2:$A$9,0))</f>
        <v>Install Service</v>
      </c>
      <c r="G1152" s="4" t="str">
        <f aca="false">INDEX(Products!$C$2:$C$9,MATCH(E1152,Products!$A$2:$A$9,0))</f>
        <v>Services</v>
      </c>
      <c r="H1152" s="5" t="n">
        <v>2</v>
      </c>
      <c r="I1152" s="6" t="n">
        <f aca="false">INDEX(Products!$D$2:$D$9,MATCH(E1152,Products!$A$2:$A$9,0))</f>
        <v>450</v>
      </c>
      <c r="J1152" s="7" t="n">
        <v>0.15</v>
      </c>
      <c r="K1152" s="8" t="n">
        <f aca="false">H1152*I1152*(1-J1152)</f>
        <v>765</v>
      </c>
      <c r="L1152" s="6" t="n">
        <f aca="false">H1152*INDEX(Products!$E$2:$E$9,MATCH(E1152,Products!$A$2:$A$9,0))</f>
        <v>620</v>
      </c>
      <c r="M1152" s="8" t="n">
        <f aca="false">K1152-L1152</f>
        <v>145</v>
      </c>
      <c r="N1152" s="2" t="s">
        <v>28</v>
      </c>
      <c r="O1152" s="2" t="s">
        <v>43</v>
      </c>
    </row>
    <row r="1153" customFormat="false" ht="15" hidden="false" customHeight="false" outlineLevel="0" collapsed="false">
      <c r="A1153" s="2" t="s">
        <v>1207</v>
      </c>
      <c r="B1153" s="3" t="n">
        <v>46132</v>
      </c>
      <c r="C1153" s="2" t="s">
        <v>16</v>
      </c>
      <c r="D1153" s="2" t="s">
        <v>17</v>
      </c>
      <c r="E1153" s="2" t="s">
        <v>18</v>
      </c>
      <c r="F1153" s="4" t="str">
        <f aca="false">INDEX(Products!$B$2:$B$9,MATCH(E1153,Products!$A$2:$A$9,0))</f>
        <v>Sensor Hub Pro</v>
      </c>
      <c r="G1153" s="4" t="str">
        <f aca="false">INDEX(Products!$C$2:$C$9,MATCH(E1153,Products!$A$2:$A$9,0))</f>
        <v>Hardware</v>
      </c>
      <c r="H1153" s="5" t="n">
        <v>10</v>
      </c>
      <c r="I1153" s="6" t="n">
        <f aca="false">INDEX(Products!$D$2:$D$9,MATCH(E1153,Products!$A$2:$A$9,0))</f>
        <v>349</v>
      </c>
      <c r="J1153" s="7" t="n">
        <v>0.1</v>
      </c>
      <c r="K1153" s="8" t="n">
        <f aca="false">H1153*I1153*(1-J1153)</f>
        <v>3141</v>
      </c>
      <c r="L1153" s="6" t="n">
        <f aca="false">H1153*INDEX(Products!$E$2:$E$9,MATCH(E1153,Products!$A$2:$A$9,0))</f>
        <v>2010</v>
      </c>
      <c r="M1153" s="8" t="n">
        <f aca="false">K1153-L1153</f>
        <v>1131</v>
      </c>
      <c r="N1153" s="2" t="s">
        <v>19</v>
      </c>
      <c r="O1153" s="2" t="s">
        <v>36</v>
      </c>
    </row>
    <row r="1154" customFormat="false" ht="15" hidden="false" customHeight="false" outlineLevel="0" collapsed="false">
      <c r="A1154" s="2" t="s">
        <v>1208</v>
      </c>
      <c r="B1154" s="3" t="n">
        <v>46132</v>
      </c>
      <c r="C1154" s="2" t="s">
        <v>41</v>
      </c>
      <c r="D1154" s="2" t="s">
        <v>42</v>
      </c>
      <c r="E1154" s="2" t="s">
        <v>23</v>
      </c>
      <c r="F1154" s="4" t="str">
        <f aca="false">INDEX(Products!$B$2:$B$9,MATCH(E1154,Products!$A$2:$A$9,0))</f>
        <v>Sensor Hub S</v>
      </c>
      <c r="G1154" s="4" t="str">
        <f aca="false">INDEX(Products!$C$2:$C$9,MATCH(E1154,Products!$A$2:$A$9,0))</f>
        <v>Hardware</v>
      </c>
      <c r="H1154" s="5" t="n">
        <v>4</v>
      </c>
      <c r="I1154" s="6" t="n">
        <f aca="false">INDEX(Products!$D$2:$D$9,MATCH(E1154,Products!$A$2:$A$9,0))</f>
        <v>189</v>
      </c>
      <c r="J1154" s="7" t="n">
        <v>0.1</v>
      </c>
      <c r="K1154" s="8" t="n">
        <f aca="false">H1154*I1154*(1-J1154)</f>
        <v>680.4</v>
      </c>
      <c r="L1154" s="6" t="n">
        <f aca="false">H1154*INDEX(Products!$E$2:$E$9,MATCH(E1154,Products!$A$2:$A$9,0))</f>
        <v>392</v>
      </c>
      <c r="M1154" s="8" t="n">
        <f aca="false">K1154-L1154</f>
        <v>288.4</v>
      </c>
      <c r="N1154" s="2" t="s">
        <v>28</v>
      </c>
      <c r="O1154" s="2" t="s">
        <v>43</v>
      </c>
    </row>
    <row r="1155" customFormat="false" ht="15" hidden="false" customHeight="false" outlineLevel="0" collapsed="false">
      <c r="A1155" s="2" t="s">
        <v>1209</v>
      </c>
      <c r="B1155" s="3" t="n">
        <v>46132</v>
      </c>
      <c r="C1155" s="2" t="s">
        <v>47</v>
      </c>
      <c r="D1155" s="2" t="s">
        <v>55</v>
      </c>
      <c r="E1155" s="2" t="s">
        <v>23</v>
      </c>
      <c r="F1155" s="4" t="str">
        <f aca="false">INDEX(Products!$B$2:$B$9,MATCH(E1155,Products!$A$2:$A$9,0))</f>
        <v>Sensor Hub S</v>
      </c>
      <c r="G1155" s="4" t="str">
        <f aca="false">INDEX(Products!$C$2:$C$9,MATCH(E1155,Products!$A$2:$A$9,0))</f>
        <v>Hardware</v>
      </c>
      <c r="H1155" s="5" t="n">
        <v>20</v>
      </c>
      <c r="I1155" s="6" t="n">
        <f aca="false">INDEX(Products!$D$2:$D$9,MATCH(E1155,Products!$A$2:$A$9,0))</f>
        <v>189</v>
      </c>
      <c r="J1155" s="7" t="n">
        <v>0.2</v>
      </c>
      <c r="K1155" s="8" t="n">
        <f aca="false">H1155*I1155*(1-J1155)</f>
        <v>3024</v>
      </c>
      <c r="L1155" s="6" t="n">
        <f aca="false">H1155*INDEX(Products!$E$2:$E$9,MATCH(E1155,Products!$A$2:$A$9,0))</f>
        <v>1960</v>
      </c>
      <c r="M1155" s="8" t="n">
        <f aca="false">K1155-L1155</f>
        <v>1064</v>
      </c>
      <c r="N1155" s="2" t="s">
        <v>19</v>
      </c>
      <c r="O1155" s="2" t="s">
        <v>50</v>
      </c>
    </row>
    <row r="1156" customFormat="false" ht="15" hidden="false" customHeight="false" outlineLevel="0" collapsed="false">
      <c r="A1156" s="2" t="s">
        <v>1210</v>
      </c>
      <c r="B1156" s="3" t="n">
        <v>46133</v>
      </c>
      <c r="C1156" s="2" t="s">
        <v>41</v>
      </c>
      <c r="D1156" s="2" t="s">
        <v>66</v>
      </c>
      <c r="E1156" s="2" t="s">
        <v>26</v>
      </c>
      <c r="F1156" s="4" t="str">
        <f aca="false">INDEX(Products!$B$2:$B$9,MATCH(E1156,Products!$A$2:$A$9,0))</f>
        <v>Analytics Basic</v>
      </c>
      <c r="G1156" s="4" t="str">
        <f aca="false">INDEX(Products!$C$2:$C$9,MATCH(E1156,Products!$A$2:$A$9,0))</f>
        <v>Software</v>
      </c>
      <c r="H1156" s="5" t="n">
        <v>3</v>
      </c>
      <c r="I1156" s="6" t="n">
        <f aca="false">INDEX(Products!$D$2:$D$9,MATCH(E1156,Products!$A$2:$A$9,0))</f>
        <v>120</v>
      </c>
      <c r="J1156" s="7" t="n">
        <v>0.15</v>
      </c>
      <c r="K1156" s="8" t="n">
        <f aca="false">H1156*I1156*(1-J1156)</f>
        <v>306</v>
      </c>
      <c r="L1156" s="6" t="n">
        <f aca="false">H1156*INDEX(Products!$E$2:$E$9,MATCH(E1156,Products!$A$2:$A$9,0))</f>
        <v>54</v>
      </c>
      <c r="M1156" s="8" t="n">
        <f aca="false">K1156-L1156</f>
        <v>252</v>
      </c>
      <c r="N1156" s="2" t="s">
        <v>28</v>
      </c>
      <c r="O1156" s="2" t="s">
        <v>43</v>
      </c>
    </row>
    <row r="1157" customFormat="false" ht="15" hidden="false" customHeight="false" outlineLevel="0" collapsed="false">
      <c r="A1157" s="2" t="s">
        <v>1211</v>
      </c>
      <c r="B1157" s="3" t="n">
        <v>46133</v>
      </c>
      <c r="C1157" s="2" t="s">
        <v>59</v>
      </c>
      <c r="D1157" s="2" t="s">
        <v>91</v>
      </c>
      <c r="E1157" s="2" t="s">
        <v>57</v>
      </c>
      <c r="F1157" s="4" t="str">
        <f aca="false">INDEX(Products!$B$2:$B$9,MATCH(E1157,Products!$A$2:$A$9,0))</f>
        <v>Edge Gateway</v>
      </c>
      <c r="G1157" s="4" t="str">
        <f aca="false">INDEX(Products!$C$2:$C$9,MATCH(E1157,Products!$A$2:$A$9,0))</f>
        <v>Hardware</v>
      </c>
      <c r="H1157" s="5" t="n">
        <v>2</v>
      </c>
      <c r="I1157" s="6" t="n">
        <f aca="false">INDEX(Products!$D$2:$D$9,MATCH(E1157,Products!$A$2:$A$9,0))</f>
        <v>899</v>
      </c>
      <c r="J1157" s="7" t="n">
        <v>0</v>
      </c>
      <c r="K1157" s="8" t="n">
        <f aca="false">H1157*I1157*(1-J1157)</f>
        <v>1798</v>
      </c>
      <c r="L1157" s="6" t="n">
        <f aca="false">H1157*INDEX(Products!$E$2:$E$9,MATCH(E1157,Products!$A$2:$A$9,0))</f>
        <v>1224</v>
      </c>
      <c r="M1157" s="8" t="n">
        <f aca="false">K1157-L1157</f>
        <v>574</v>
      </c>
      <c r="N1157" s="2" t="s">
        <v>28</v>
      </c>
      <c r="O1157" s="2" t="s">
        <v>62</v>
      </c>
    </row>
    <row r="1158" customFormat="false" ht="15" hidden="false" customHeight="false" outlineLevel="0" collapsed="false">
      <c r="A1158" s="2" t="s">
        <v>1212</v>
      </c>
      <c r="B1158" s="3" t="n">
        <v>46133</v>
      </c>
      <c r="C1158" s="2" t="s">
        <v>59</v>
      </c>
      <c r="D1158" s="2" t="s">
        <v>101</v>
      </c>
      <c r="E1158" s="2" t="s">
        <v>18</v>
      </c>
      <c r="F1158" s="4" t="str">
        <f aca="false">INDEX(Products!$B$2:$B$9,MATCH(E1158,Products!$A$2:$A$9,0))</f>
        <v>Sensor Hub Pro</v>
      </c>
      <c r="G1158" s="4" t="str">
        <f aca="false">INDEX(Products!$C$2:$C$9,MATCH(E1158,Products!$A$2:$A$9,0))</f>
        <v>Hardware</v>
      </c>
      <c r="H1158" s="5" t="n">
        <v>2</v>
      </c>
      <c r="I1158" s="6" t="n">
        <f aca="false">INDEX(Products!$D$2:$D$9,MATCH(E1158,Products!$A$2:$A$9,0))</f>
        <v>349</v>
      </c>
      <c r="J1158" s="7" t="n">
        <v>0.1</v>
      </c>
      <c r="K1158" s="8" t="n">
        <f aca="false">H1158*I1158*(1-J1158)</f>
        <v>628.2</v>
      </c>
      <c r="L1158" s="6" t="n">
        <f aca="false">H1158*INDEX(Products!$E$2:$E$9,MATCH(E1158,Products!$A$2:$A$9,0))</f>
        <v>402</v>
      </c>
      <c r="M1158" s="8" t="n">
        <f aca="false">K1158-L1158</f>
        <v>226.2</v>
      </c>
      <c r="N1158" s="2" t="s">
        <v>19</v>
      </c>
      <c r="O1158" s="2" t="s">
        <v>62</v>
      </c>
    </row>
    <row r="1159" customFormat="false" ht="15" hidden="false" customHeight="false" outlineLevel="0" collapsed="false">
      <c r="A1159" s="2" t="s">
        <v>1213</v>
      </c>
      <c r="B1159" s="3" t="n">
        <v>46134</v>
      </c>
      <c r="C1159" s="2" t="s">
        <v>16</v>
      </c>
      <c r="D1159" s="2" t="s">
        <v>35</v>
      </c>
      <c r="E1159" s="2" t="s">
        <v>23</v>
      </c>
      <c r="F1159" s="4" t="str">
        <f aca="false">INDEX(Products!$B$2:$B$9,MATCH(E1159,Products!$A$2:$A$9,0))</f>
        <v>Sensor Hub S</v>
      </c>
      <c r="G1159" s="4" t="str">
        <f aca="false">INDEX(Products!$C$2:$C$9,MATCH(E1159,Products!$A$2:$A$9,0))</f>
        <v>Hardware</v>
      </c>
      <c r="H1159" s="5" t="n">
        <v>5</v>
      </c>
      <c r="I1159" s="6" t="n">
        <f aca="false">INDEX(Products!$D$2:$D$9,MATCH(E1159,Products!$A$2:$A$9,0))</f>
        <v>189</v>
      </c>
      <c r="J1159" s="7" t="n">
        <v>0.25</v>
      </c>
      <c r="K1159" s="8" t="n">
        <f aca="false">H1159*I1159*(1-J1159)</f>
        <v>708.75</v>
      </c>
      <c r="L1159" s="6" t="n">
        <f aca="false">H1159*INDEX(Products!$E$2:$E$9,MATCH(E1159,Products!$A$2:$A$9,0))</f>
        <v>490</v>
      </c>
      <c r="M1159" s="8" t="n">
        <f aca="false">K1159-L1159</f>
        <v>218.75</v>
      </c>
      <c r="N1159" s="2" t="s">
        <v>19</v>
      </c>
      <c r="O1159" s="2" t="s">
        <v>20</v>
      </c>
    </row>
    <row r="1160" customFormat="false" ht="15" hidden="false" customHeight="false" outlineLevel="0" collapsed="false">
      <c r="A1160" s="2" t="s">
        <v>1214</v>
      </c>
      <c r="B1160" s="3" t="n">
        <v>46134</v>
      </c>
      <c r="C1160" s="2" t="s">
        <v>41</v>
      </c>
      <c r="D1160" s="2" t="s">
        <v>66</v>
      </c>
      <c r="E1160" s="2" t="s">
        <v>23</v>
      </c>
      <c r="F1160" s="4" t="str">
        <f aca="false">INDEX(Products!$B$2:$B$9,MATCH(E1160,Products!$A$2:$A$9,0))</f>
        <v>Sensor Hub S</v>
      </c>
      <c r="G1160" s="4" t="str">
        <f aca="false">INDEX(Products!$C$2:$C$9,MATCH(E1160,Products!$A$2:$A$9,0))</f>
        <v>Hardware</v>
      </c>
      <c r="H1160" s="5" t="n">
        <v>2</v>
      </c>
      <c r="I1160" s="6" t="n">
        <f aca="false">INDEX(Products!$D$2:$D$9,MATCH(E1160,Products!$A$2:$A$9,0))</f>
        <v>189</v>
      </c>
      <c r="J1160" s="7" t="n">
        <v>0.05</v>
      </c>
      <c r="K1160" s="8" t="n">
        <f aca="false">H1160*I1160*(1-J1160)</f>
        <v>359.1</v>
      </c>
      <c r="L1160" s="6" t="n">
        <f aca="false">H1160*INDEX(Products!$E$2:$E$9,MATCH(E1160,Products!$A$2:$A$9,0))</f>
        <v>196</v>
      </c>
      <c r="M1160" s="8" t="n">
        <f aca="false">K1160-L1160</f>
        <v>163.1</v>
      </c>
      <c r="N1160" s="2" t="s">
        <v>38</v>
      </c>
      <c r="O1160" s="2" t="s">
        <v>43</v>
      </c>
    </row>
    <row r="1161" customFormat="false" ht="15" hidden="false" customHeight="false" outlineLevel="0" collapsed="false">
      <c r="A1161" s="2" t="s">
        <v>1215</v>
      </c>
      <c r="B1161" s="3" t="n">
        <v>46134</v>
      </c>
      <c r="C1161" s="2" t="s">
        <v>16</v>
      </c>
      <c r="D1161" s="2" t="s">
        <v>35</v>
      </c>
      <c r="E1161" s="2" t="s">
        <v>23</v>
      </c>
      <c r="F1161" s="4" t="str">
        <f aca="false">INDEX(Products!$B$2:$B$9,MATCH(E1161,Products!$A$2:$A$9,0))</f>
        <v>Sensor Hub S</v>
      </c>
      <c r="G1161" s="4" t="str">
        <f aca="false">INDEX(Products!$C$2:$C$9,MATCH(E1161,Products!$A$2:$A$9,0))</f>
        <v>Hardware</v>
      </c>
      <c r="H1161" s="5" t="n">
        <v>4</v>
      </c>
      <c r="I1161" s="6" t="n">
        <f aca="false">INDEX(Products!$D$2:$D$9,MATCH(E1161,Products!$A$2:$A$9,0))</f>
        <v>189</v>
      </c>
      <c r="J1161" s="7" t="n">
        <v>0.05</v>
      </c>
      <c r="K1161" s="8" t="n">
        <f aca="false">H1161*I1161*(1-J1161)</f>
        <v>718.2</v>
      </c>
      <c r="L1161" s="6" t="n">
        <f aca="false">H1161*INDEX(Products!$E$2:$E$9,MATCH(E1161,Products!$A$2:$A$9,0))</f>
        <v>392</v>
      </c>
      <c r="M1161" s="8" t="n">
        <f aca="false">K1161-L1161</f>
        <v>326.2</v>
      </c>
      <c r="N1161" s="2" t="s">
        <v>28</v>
      </c>
      <c r="O1161" s="2" t="s">
        <v>36</v>
      </c>
    </row>
    <row r="1162" customFormat="false" ht="15" hidden="false" customHeight="false" outlineLevel="0" collapsed="false">
      <c r="A1162" s="2" t="s">
        <v>1216</v>
      </c>
      <c r="B1162" s="3" t="n">
        <v>46134</v>
      </c>
      <c r="C1162" s="2" t="s">
        <v>47</v>
      </c>
      <c r="D1162" s="2" t="s">
        <v>157</v>
      </c>
      <c r="E1162" s="2" t="s">
        <v>26</v>
      </c>
      <c r="F1162" s="4" t="str">
        <f aca="false">INDEX(Products!$B$2:$B$9,MATCH(E1162,Products!$A$2:$A$9,0))</f>
        <v>Analytics Basic</v>
      </c>
      <c r="G1162" s="4" t="str">
        <f aca="false">INDEX(Products!$C$2:$C$9,MATCH(E1162,Products!$A$2:$A$9,0))</f>
        <v>Software</v>
      </c>
      <c r="H1162" s="5" t="n">
        <v>1</v>
      </c>
      <c r="I1162" s="6" t="n">
        <f aca="false">INDEX(Products!$D$2:$D$9,MATCH(E1162,Products!$A$2:$A$9,0))</f>
        <v>120</v>
      </c>
      <c r="J1162" s="7" t="n">
        <v>0.1</v>
      </c>
      <c r="K1162" s="8" t="n">
        <f aca="false">H1162*I1162*(1-J1162)</f>
        <v>108</v>
      </c>
      <c r="L1162" s="6" t="n">
        <f aca="false">H1162*INDEX(Products!$E$2:$E$9,MATCH(E1162,Products!$A$2:$A$9,0))</f>
        <v>18</v>
      </c>
      <c r="M1162" s="8" t="n">
        <f aca="false">K1162-L1162</f>
        <v>90</v>
      </c>
      <c r="N1162" s="2" t="s">
        <v>19</v>
      </c>
      <c r="O1162" s="2" t="s">
        <v>72</v>
      </c>
    </row>
    <row r="1163" customFormat="false" ht="15" hidden="false" customHeight="false" outlineLevel="0" collapsed="false">
      <c r="A1163" s="2" t="s">
        <v>1217</v>
      </c>
      <c r="B1163" s="3" t="n">
        <v>46135</v>
      </c>
      <c r="C1163" s="2" t="s">
        <v>16</v>
      </c>
      <c r="D1163" s="2" t="s">
        <v>17</v>
      </c>
      <c r="E1163" s="2" t="s">
        <v>18</v>
      </c>
      <c r="F1163" s="4" t="str">
        <f aca="false">INDEX(Products!$B$2:$B$9,MATCH(E1163,Products!$A$2:$A$9,0))</f>
        <v>Sensor Hub Pro</v>
      </c>
      <c r="G1163" s="4" t="str">
        <f aca="false">INDEX(Products!$C$2:$C$9,MATCH(E1163,Products!$A$2:$A$9,0))</f>
        <v>Hardware</v>
      </c>
      <c r="H1163" s="5" t="n">
        <v>3</v>
      </c>
      <c r="I1163" s="6" t="n">
        <f aca="false">INDEX(Products!$D$2:$D$9,MATCH(E1163,Products!$A$2:$A$9,0))</f>
        <v>349</v>
      </c>
      <c r="J1163" s="7" t="n">
        <v>0.15</v>
      </c>
      <c r="K1163" s="8" t="n">
        <f aca="false">H1163*I1163*(1-J1163)</f>
        <v>889.95</v>
      </c>
      <c r="L1163" s="6" t="n">
        <f aca="false">H1163*INDEX(Products!$E$2:$E$9,MATCH(E1163,Products!$A$2:$A$9,0))</f>
        <v>603</v>
      </c>
      <c r="M1163" s="8" t="n">
        <f aca="false">K1163-L1163</f>
        <v>286.95</v>
      </c>
      <c r="N1163" s="2" t="s">
        <v>19</v>
      </c>
      <c r="O1163" s="2" t="s">
        <v>36</v>
      </c>
    </row>
    <row r="1164" customFormat="false" ht="15" hidden="false" customHeight="false" outlineLevel="0" collapsed="false">
      <c r="A1164" s="2" t="s">
        <v>1218</v>
      </c>
      <c r="B1164" s="3" t="n">
        <v>46136</v>
      </c>
      <c r="C1164" s="2" t="s">
        <v>47</v>
      </c>
      <c r="D1164" s="2" t="s">
        <v>48</v>
      </c>
      <c r="E1164" s="2" t="s">
        <v>32</v>
      </c>
      <c r="F1164" s="4" t="str">
        <f aca="false">INDEX(Products!$B$2:$B$9,MATCH(E1164,Products!$A$2:$A$9,0))</f>
        <v>Analytics Plus</v>
      </c>
      <c r="G1164" s="4" t="str">
        <f aca="false">INDEX(Products!$C$2:$C$9,MATCH(E1164,Products!$A$2:$A$9,0))</f>
        <v>Software</v>
      </c>
      <c r="H1164" s="5" t="n">
        <v>2</v>
      </c>
      <c r="I1164" s="6" t="n">
        <f aca="false">INDEX(Products!$D$2:$D$9,MATCH(E1164,Products!$A$2:$A$9,0))</f>
        <v>290</v>
      </c>
      <c r="J1164" s="7" t="n">
        <v>0.25</v>
      </c>
      <c r="K1164" s="8" t="n">
        <f aca="false">H1164*I1164*(1-J1164)</f>
        <v>435</v>
      </c>
      <c r="L1164" s="6" t="n">
        <f aca="false">H1164*INDEX(Products!$E$2:$E$9,MATCH(E1164,Products!$A$2:$A$9,0))</f>
        <v>82</v>
      </c>
      <c r="M1164" s="8" t="n">
        <f aca="false">K1164-L1164</f>
        <v>353</v>
      </c>
      <c r="N1164" s="2" t="s">
        <v>19</v>
      </c>
      <c r="O1164" s="2" t="s">
        <v>50</v>
      </c>
    </row>
    <row r="1165" customFormat="false" ht="15" hidden="false" customHeight="false" outlineLevel="0" collapsed="false">
      <c r="A1165" s="2" t="s">
        <v>1219</v>
      </c>
      <c r="B1165" s="3" t="n">
        <v>46136</v>
      </c>
      <c r="C1165" s="2" t="s">
        <v>16</v>
      </c>
      <c r="D1165" s="2" t="s">
        <v>25</v>
      </c>
      <c r="E1165" s="2" t="s">
        <v>61</v>
      </c>
      <c r="F1165" s="4" t="str">
        <f aca="false">INDEX(Products!$B$2:$B$9,MATCH(E1165,Products!$A$2:$A$9,0))</f>
        <v>Install Service</v>
      </c>
      <c r="G1165" s="4" t="str">
        <f aca="false">INDEX(Products!$C$2:$C$9,MATCH(E1165,Products!$A$2:$A$9,0))</f>
        <v>Services</v>
      </c>
      <c r="H1165" s="5" t="n">
        <v>5</v>
      </c>
      <c r="I1165" s="6" t="n">
        <f aca="false">INDEX(Products!$D$2:$D$9,MATCH(E1165,Products!$A$2:$A$9,0))</f>
        <v>450</v>
      </c>
      <c r="J1165" s="7" t="n">
        <v>0.15</v>
      </c>
      <c r="K1165" s="8" t="n">
        <f aca="false">H1165*I1165*(1-J1165)</f>
        <v>1912.5</v>
      </c>
      <c r="L1165" s="6" t="n">
        <f aca="false">H1165*INDEX(Products!$E$2:$E$9,MATCH(E1165,Products!$A$2:$A$9,0))</f>
        <v>1550</v>
      </c>
      <c r="M1165" s="8" t="n">
        <f aca="false">K1165-L1165</f>
        <v>362.5</v>
      </c>
      <c r="N1165" s="2" t="s">
        <v>28</v>
      </c>
      <c r="O1165" s="2" t="s">
        <v>36</v>
      </c>
    </row>
    <row r="1166" customFormat="false" ht="15" hidden="false" customHeight="false" outlineLevel="0" collapsed="false">
      <c r="A1166" s="2" t="s">
        <v>1220</v>
      </c>
      <c r="B1166" s="3" t="n">
        <v>46136</v>
      </c>
      <c r="C1166" s="2" t="s">
        <v>47</v>
      </c>
      <c r="D1166" s="2" t="s">
        <v>48</v>
      </c>
      <c r="E1166" s="2" t="s">
        <v>32</v>
      </c>
      <c r="F1166" s="4" t="str">
        <f aca="false">INDEX(Products!$B$2:$B$9,MATCH(E1166,Products!$A$2:$A$9,0))</f>
        <v>Analytics Plus</v>
      </c>
      <c r="G1166" s="4" t="str">
        <f aca="false">INDEX(Products!$C$2:$C$9,MATCH(E1166,Products!$A$2:$A$9,0))</f>
        <v>Software</v>
      </c>
      <c r="H1166" s="5" t="n">
        <v>3</v>
      </c>
      <c r="I1166" s="6" t="n">
        <f aca="false">INDEX(Products!$D$2:$D$9,MATCH(E1166,Products!$A$2:$A$9,0))</f>
        <v>290</v>
      </c>
      <c r="J1166" s="7" t="n">
        <v>0.05</v>
      </c>
      <c r="K1166" s="8" t="n">
        <f aca="false">H1166*I1166*(1-J1166)</f>
        <v>826.5</v>
      </c>
      <c r="L1166" s="6" t="n">
        <f aca="false">H1166*INDEX(Products!$E$2:$E$9,MATCH(E1166,Products!$A$2:$A$9,0))</f>
        <v>123</v>
      </c>
      <c r="M1166" s="8" t="n">
        <f aca="false">K1166-L1166</f>
        <v>703.5</v>
      </c>
      <c r="N1166" s="2" t="s">
        <v>28</v>
      </c>
      <c r="O1166" s="2" t="s">
        <v>72</v>
      </c>
    </row>
    <row r="1167" customFormat="false" ht="15" hidden="false" customHeight="false" outlineLevel="0" collapsed="false">
      <c r="A1167" s="2" t="s">
        <v>1221</v>
      </c>
      <c r="B1167" s="3" t="n">
        <v>46137</v>
      </c>
      <c r="C1167" s="2" t="s">
        <v>41</v>
      </c>
      <c r="D1167" s="2" t="s">
        <v>42</v>
      </c>
      <c r="E1167" s="2" t="s">
        <v>49</v>
      </c>
      <c r="F1167" s="4" t="str">
        <f aca="false">INDEX(Products!$B$2:$B$9,MATCH(E1167,Products!$A$2:$A$9,0))</f>
        <v>Mounting Kit</v>
      </c>
      <c r="G1167" s="4" t="str">
        <f aca="false">INDEX(Products!$C$2:$C$9,MATCH(E1167,Products!$A$2:$A$9,0))</f>
        <v>Accessories</v>
      </c>
      <c r="H1167" s="5" t="n">
        <v>3</v>
      </c>
      <c r="I1167" s="6" t="n">
        <f aca="false">INDEX(Products!$D$2:$D$9,MATCH(E1167,Products!$A$2:$A$9,0))</f>
        <v>39</v>
      </c>
      <c r="J1167" s="7" t="n">
        <v>0.05</v>
      </c>
      <c r="K1167" s="8" t="n">
        <f aca="false">H1167*I1167*(1-J1167)</f>
        <v>111.15</v>
      </c>
      <c r="L1167" s="6" t="n">
        <f aca="false">H1167*INDEX(Products!$E$2:$E$9,MATCH(E1167,Products!$A$2:$A$9,0))</f>
        <v>94.5</v>
      </c>
      <c r="M1167" s="8" t="n">
        <f aca="false">K1167-L1167</f>
        <v>16.65</v>
      </c>
      <c r="N1167" s="2" t="s">
        <v>28</v>
      </c>
      <c r="O1167" s="2" t="s">
        <v>43</v>
      </c>
    </row>
    <row r="1168" customFormat="false" ht="15" hidden="false" customHeight="false" outlineLevel="0" collapsed="false">
      <c r="A1168" s="2" t="s">
        <v>1222</v>
      </c>
      <c r="B1168" s="3" t="n">
        <v>46138</v>
      </c>
      <c r="C1168" s="2" t="s">
        <v>16</v>
      </c>
      <c r="D1168" s="2" t="s">
        <v>25</v>
      </c>
      <c r="E1168" s="2" t="s">
        <v>18</v>
      </c>
      <c r="F1168" s="4" t="str">
        <f aca="false">INDEX(Products!$B$2:$B$9,MATCH(E1168,Products!$A$2:$A$9,0))</f>
        <v>Sensor Hub Pro</v>
      </c>
      <c r="G1168" s="4" t="str">
        <f aca="false">INDEX(Products!$C$2:$C$9,MATCH(E1168,Products!$A$2:$A$9,0))</f>
        <v>Hardware</v>
      </c>
      <c r="H1168" s="5" t="n">
        <v>1</v>
      </c>
      <c r="I1168" s="6" t="n">
        <f aca="false">INDEX(Products!$D$2:$D$9,MATCH(E1168,Products!$A$2:$A$9,0))</f>
        <v>349</v>
      </c>
      <c r="J1168" s="7" t="n">
        <v>0.1</v>
      </c>
      <c r="K1168" s="8" t="n">
        <f aca="false">H1168*I1168*(1-J1168)</f>
        <v>314.1</v>
      </c>
      <c r="L1168" s="6" t="n">
        <f aca="false">H1168*INDEX(Products!$E$2:$E$9,MATCH(E1168,Products!$A$2:$A$9,0))</f>
        <v>201</v>
      </c>
      <c r="M1168" s="8" t="n">
        <f aca="false">K1168-L1168</f>
        <v>113.1</v>
      </c>
      <c r="N1168" s="2" t="s">
        <v>28</v>
      </c>
      <c r="O1168" s="2" t="s">
        <v>20</v>
      </c>
    </row>
    <row r="1169" customFormat="false" ht="15" hidden="false" customHeight="false" outlineLevel="0" collapsed="false">
      <c r="A1169" s="2" t="s">
        <v>1223</v>
      </c>
      <c r="B1169" s="3" t="n">
        <v>46139</v>
      </c>
      <c r="C1169" s="2" t="s">
        <v>16</v>
      </c>
      <c r="D1169" s="2" t="s">
        <v>35</v>
      </c>
      <c r="E1169" s="2" t="s">
        <v>18</v>
      </c>
      <c r="F1169" s="4" t="str">
        <f aca="false">INDEX(Products!$B$2:$B$9,MATCH(E1169,Products!$A$2:$A$9,0))</f>
        <v>Sensor Hub Pro</v>
      </c>
      <c r="G1169" s="4" t="str">
        <f aca="false">INDEX(Products!$C$2:$C$9,MATCH(E1169,Products!$A$2:$A$9,0))</f>
        <v>Hardware</v>
      </c>
      <c r="H1169" s="5" t="n">
        <v>1</v>
      </c>
      <c r="I1169" s="6" t="n">
        <f aca="false">INDEX(Products!$D$2:$D$9,MATCH(E1169,Products!$A$2:$A$9,0))</f>
        <v>349</v>
      </c>
      <c r="J1169" s="7" t="n">
        <v>0.15</v>
      </c>
      <c r="K1169" s="8" t="n">
        <f aca="false">H1169*I1169*(1-J1169)</f>
        <v>296.65</v>
      </c>
      <c r="L1169" s="6" t="n">
        <f aca="false">H1169*INDEX(Products!$E$2:$E$9,MATCH(E1169,Products!$A$2:$A$9,0))</f>
        <v>201</v>
      </c>
      <c r="M1169" s="8" t="n">
        <f aca="false">K1169-L1169</f>
        <v>95.65</v>
      </c>
      <c r="N1169" s="2" t="s">
        <v>19</v>
      </c>
      <c r="O1169" s="2" t="s">
        <v>36</v>
      </c>
    </row>
    <row r="1170" customFormat="false" ht="15" hidden="false" customHeight="false" outlineLevel="0" collapsed="false">
      <c r="A1170" s="2" t="s">
        <v>1224</v>
      </c>
      <c r="B1170" s="3" t="n">
        <v>46139</v>
      </c>
      <c r="C1170" s="2" t="s">
        <v>16</v>
      </c>
      <c r="D1170" s="2" t="s">
        <v>17</v>
      </c>
      <c r="E1170" s="2" t="s">
        <v>61</v>
      </c>
      <c r="F1170" s="4" t="str">
        <f aca="false">INDEX(Products!$B$2:$B$9,MATCH(E1170,Products!$A$2:$A$9,0))</f>
        <v>Install Service</v>
      </c>
      <c r="G1170" s="4" t="str">
        <f aca="false">INDEX(Products!$C$2:$C$9,MATCH(E1170,Products!$A$2:$A$9,0))</f>
        <v>Services</v>
      </c>
      <c r="H1170" s="5" t="n">
        <v>1</v>
      </c>
      <c r="I1170" s="6" t="n">
        <f aca="false">INDEX(Products!$D$2:$D$9,MATCH(E1170,Products!$A$2:$A$9,0))</f>
        <v>450</v>
      </c>
      <c r="J1170" s="7" t="n">
        <v>0.05</v>
      </c>
      <c r="K1170" s="8" t="n">
        <f aca="false">H1170*I1170*(1-J1170)</f>
        <v>427.5</v>
      </c>
      <c r="L1170" s="6" t="n">
        <f aca="false">H1170*INDEX(Products!$E$2:$E$9,MATCH(E1170,Products!$A$2:$A$9,0))</f>
        <v>310</v>
      </c>
      <c r="M1170" s="8" t="n">
        <f aca="false">K1170-L1170</f>
        <v>117.5</v>
      </c>
      <c r="N1170" s="2" t="s">
        <v>28</v>
      </c>
      <c r="O1170" s="2" t="s">
        <v>36</v>
      </c>
    </row>
    <row r="1171" customFormat="false" ht="15" hidden="false" customHeight="false" outlineLevel="0" collapsed="false">
      <c r="A1171" s="2" t="s">
        <v>1225</v>
      </c>
      <c r="B1171" s="3" t="n">
        <v>46139</v>
      </c>
      <c r="C1171" s="2" t="s">
        <v>30</v>
      </c>
      <c r="D1171" s="2" t="s">
        <v>128</v>
      </c>
      <c r="E1171" s="2" t="s">
        <v>32</v>
      </c>
      <c r="F1171" s="4" t="str">
        <f aca="false">INDEX(Products!$B$2:$B$9,MATCH(E1171,Products!$A$2:$A$9,0))</f>
        <v>Analytics Plus</v>
      </c>
      <c r="G1171" s="4" t="str">
        <f aca="false">INDEX(Products!$C$2:$C$9,MATCH(E1171,Products!$A$2:$A$9,0))</f>
        <v>Software</v>
      </c>
      <c r="H1171" s="5" t="n">
        <v>1</v>
      </c>
      <c r="I1171" s="6" t="n">
        <f aca="false">INDEX(Products!$D$2:$D$9,MATCH(E1171,Products!$A$2:$A$9,0))</f>
        <v>290</v>
      </c>
      <c r="J1171" s="7" t="n">
        <v>0.15</v>
      </c>
      <c r="K1171" s="8" t="n">
        <f aca="false">H1171*I1171*(1-J1171)</f>
        <v>246.5</v>
      </c>
      <c r="L1171" s="6" t="n">
        <f aca="false">H1171*INDEX(Products!$E$2:$E$9,MATCH(E1171,Products!$A$2:$A$9,0))</f>
        <v>41</v>
      </c>
      <c r="M1171" s="8" t="n">
        <f aca="false">K1171-L1171</f>
        <v>205.5</v>
      </c>
      <c r="N1171" s="2" t="s">
        <v>19</v>
      </c>
      <c r="O1171" s="2" t="s">
        <v>33</v>
      </c>
    </row>
    <row r="1172" customFormat="false" ht="15" hidden="false" customHeight="false" outlineLevel="0" collapsed="false">
      <c r="A1172" s="2" t="s">
        <v>1226</v>
      </c>
      <c r="B1172" s="3" t="n">
        <v>46139</v>
      </c>
      <c r="C1172" s="2" t="s">
        <v>16</v>
      </c>
      <c r="D1172" s="2" t="s">
        <v>22</v>
      </c>
      <c r="E1172" s="2" t="s">
        <v>32</v>
      </c>
      <c r="F1172" s="4" t="str">
        <f aca="false">INDEX(Products!$B$2:$B$9,MATCH(E1172,Products!$A$2:$A$9,0))</f>
        <v>Analytics Plus</v>
      </c>
      <c r="G1172" s="4" t="str">
        <f aca="false">INDEX(Products!$C$2:$C$9,MATCH(E1172,Products!$A$2:$A$9,0))</f>
        <v>Software</v>
      </c>
      <c r="H1172" s="5" t="n">
        <v>1</v>
      </c>
      <c r="I1172" s="6" t="n">
        <f aca="false">INDEX(Products!$D$2:$D$9,MATCH(E1172,Products!$A$2:$A$9,0))</f>
        <v>290</v>
      </c>
      <c r="J1172" s="7" t="n">
        <v>0</v>
      </c>
      <c r="K1172" s="8" t="n">
        <f aca="false">H1172*I1172*(1-J1172)</f>
        <v>290</v>
      </c>
      <c r="L1172" s="6" t="n">
        <f aca="false">H1172*INDEX(Products!$E$2:$E$9,MATCH(E1172,Products!$A$2:$A$9,0))</f>
        <v>41</v>
      </c>
      <c r="M1172" s="8" t="n">
        <f aca="false">K1172-L1172</f>
        <v>249</v>
      </c>
      <c r="N1172" s="2" t="s">
        <v>38</v>
      </c>
      <c r="O1172" s="2" t="s">
        <v>36</v>
      </c>
    </row>
    <row r="1173" customFormat="false" ht="15" hidden="false" customHeight="false" outlineLevel="0" collapsed="false">
      <c r="A1173" s="2" t="s">
        <v>1227</v>
      </c>
      <c r="B1173" s="3" t="n">
        <v>46140</v>
      </c>
      <c r="C1173" s="2" t="s">
        <v>16</v>
      </c>
      <c r="D1173" s="2" t="s">
        <v>22</v>
      </c>
      <c r="E1173" s="2" t="s">
        <v>23</v>
      </c>
      <c r="F1173" s="4" t="str">
        <f aca="false">INDEX(Products!$B$2:$B$9,MATCH(E1173,Products!$A$2:$A$9,0))</f>
        <v>Sensor Hub S</v>
      </c>
      <c r="G1173" s="4" t="str">
        <f aca="false">INDEX(Products!$C$2:$C$9,MATCH(E1173,Products!$A$2:$A$9,0))</f>
        <v>Hardware</v>
      </c>
      <c r="H1173" s="5" t="n">
        <v>12</v>
      </c>
      <c r="I1173" s="6" t="n">
        <f aca="false">INDEX(Products!$D$2:$D$9,MATCH(E1173,Products!$A$2:$A$9,0))</f>
        <v>189</v>
      </c>
      <c r="J1173" s="7" t="n">
        <v>0.25</v>
      </c>
      <c r="K1173" s="8" t="n">
        <f aca="false">H1173*I1173*(1-J1173)</f>
        <v>1701</v>
      </c>
      <c r="L1173" s="6" t="n">
        <f aca="false">H1173*INDEX(Products!$E$2:$E$9,MATCH(E1173,Products!$A$2:$A$9,0))</f>
        <v>1176</v>
      </c>
      <c r="M1173" s="8" t="n">
        <f aca="false">K1173-L1173</f>
        <v>525</v>
      </c>
      <c r="N1173" s="2" t="s">
        <v>19</v>
      </c>
      <c r="O1173" s="2" t="s">
        <v>36</v>
      </c>
    </row>
    <row r="1174" customFormat="false" ht="15" hidden="false" customHeight="false" outlineLevel="0" collapsed="false">
      <c r="A1174" s="2" t="s">
        <v>1228</v>
      </c>
      <c r="B1174" s="3" t="n">
        <v>46140</v>
      </c>
      <c r="C1174" s="2" t="s">
        <v>47</v>
      </c>
      <c r="D1174" s="2" t="s">
        <v>48</v>
      </c>
      <c r="E1174" s="2" t="s">
        <v>26</v>
      </c>
      <c r="F1174" s="4" t="str">
        <f aca="false">INDEX(Products!$B$2:$B$9,MATCH(E1174,Products!$A$2:$A$9,0))</f>
        <v>Analytics Basic</v>
      </c>
      <c r="G1174" s="4" t="str">
        <f aca="false">INDEX(Products!$C$2:$C$9,MATCH(E1174,Products!$A$2:$A$9,0))</f>
        <v>Software</v>
      </c>
      <c r="H1174" s="5" t="n">
        <v>2</v>
      </c>
      <c r="I1174" s="6" t="n">
        <f aca="false">INDEX(Products!$D$2:$D$9,MATCH(E1174,Products!$A$2:$A$9,0))</f>
        <v>120</v>
      </c>
      <c r="J1174" s="7" t="n">
        <v>0.1</v>
      </c>
      <c r="K1174" s="8" t="n">
        <f aca="false">H1174*I1174*(1-J1174)</f>
        <v>216</v>
      </c>
      <c r="L1174" s="6" t="n">
        <f aca="false">H1174*INDEX(Products!$E$2:$E$9,MATCH(E1174,Products!$A$2:$A$9,0))</f>
        <v>36</v>
      </c>
      <c r="M1174" s="8" t="n">
        <f aca="false">K1174-L1174</f>
        <v>180</v>
      </c>
      <c r="N1174" s="2" t="s">
        <v>28</v>
      </c>
      <c r="O1174" s="2" t="s">
        <v>72</v>
      </c>
    </row>
    <row r="1175" customFormat="false" ht="15" hidden="false" customHeight="false" outlineLevel="0" collapsed="false">
      <c r="A1175" s="2" t="s">
        <v>1229</v>
      </c>
      <c r="B1175" s="3" t="n">
        <v>46140</v>
      </c>
      <c r="C1175" s="2" t="s">
        <v>47</v>
      </c>
      <c r="D1175" s="2" t="s">
        <v>48</v>
      </c>
      <c r="E1175" s="2" t="s">
        <v>32</v>
      </c>
      <c r="F1175" s="4" t="str">
        <f aca="false">INDEX(Products!$B$2:$B$9,MATCH(E1175,Products!$A$2:$A$9,0))</f>
        <v>Analytics Plus</v>
      </c>
      <c r="G1175" s="4" t="str">
        <f aca="false">INDEX(Products!$C$2:$C$9,MATCH(E1175,Products!$A$2:$A$9,0))</f>
        <v>Software</v>
      </c>
      <c r="H1175" s="5" t="n">
        <v>1</v>
      </c>
      <c r="I1175" s="6" t="n">
        <f aca="false">INDEX(Products!$D$2:$D$9,MATCH(E1175,Products!$A$2:$A$9,0))</f>
        <v>290</v>
      </c>
      <c r="J1175" s="7" t="n">
        <v>0.05</v>
      </c>
      <c r="K1175" s="8" t="n">
        <f aca="false">H1175*I1175*(1-J1175)</f>
        <v>275.5</v>
      </c>
      <c r="L1175" s="6" t="n">
        <f aca="false">H1175*INDEX(Products!$E$2:$E$9,MATCH(E1175,Products!$A$2:$A$9,0))</f>
        <v>41</v>
      </c>
      <c r="M1175" s="8" t="n">
        <f aca="false">K1175-L1175</f>
        <v>234.5</v>
      </c>
      <c r="N1175" s="2" t="s">
        <v>28</v>
      </c>
      <c r="O1175" s="2" t="s">
        <v>50</v>
      </c>
    </row>
    <row r="1176" customFormat="false" ht="15" hidden="false" customHeight="false" outlineLevel="0" collapsed="false">
      <c r="A1176" s="2" t="s">
        <v>1230</v>
      </c>
      <c r="B1176" s="3" t="n">
        <v>46141</v>
      </c>
      <c r="C1176" s="2" t="s">
        <v>30</v>
      </c>
      <c r="D1176" s="2" t="s">
        <v>77</v>
      </c>
      <c r="E1176" s="2" t="s">
        <v>26</v>
      </c>
      <c r="F1176" s="4" t="str">
        <f aca="false">INDEX(Products!$B$2:$B$9,MATCH(E1176,Products!$A$2:$A$9,0))</f>
        <v>Analytics Basic</v>
      </c>
      <c r="G1176" s="4" t="str">
        <f aca="false">INDEX(Products!$C$2:$C$9,MATCH(E1176,Products!$A$2:$A$9,0))</f>
        <v>Software</v>
      </c>
      <c r="H1176" s="5" t="n">
        <v>1</v>
      </c>
      <c r="I1176" s="6" t="n">
        <f aca="false">INDEX(Products!$D$2:$D$9,MATCH(E1176,Products!$A$2:$A$9,0))</f>
        <v>120</v>
      </c>
      <c r="J1176" s="7" t="n">
        <v>0</v>
      </c>
      <c r="K1176" s="8" t="n">
        <f aca="false">H1176*I1176*(1-J1176)</f>
        <v>120</v>
      </c>
      <c r="L1176" s="6" t="n">
        <f aca="false">H1176*INDEX(Products!$E$2:$E$9,MATCH(E1176,Products!$A$2:$A$9,0))</f>
        <v>18</v>
      </c>
      <c r="M1176" s="8" t="n">
        <f aca="false">K1176-L1176</f>
        <v>102</v>
      </c>
      <c r="N1176" s="2" t="s">
        <v>28</v>
      </c>
      <c r="O1176" s="2" t="s">
        <v>33</v>
      </c>
    </row>
    <row r="1177" customFormat="false" ht="15" hidden="false" customHeight="false" outlineLevel="0" collapsed="false">
      <c r="A1177" s="2" t="s">
        <v>1231</v>
      </c>
      <c r="B1177" s="3" t="n">
        <v>46141</v>
      </c>
      <c r="C1177" s="2" t="s">
        <v>47</v>
      </c>
      <c r="D1177" s="2" t="s">
        <v>71</v>
      </c>
      <c r="E1177" s="2" t="s">
        <v>32</v>
      </c>
      <c r="F1177" s="4" t="str">
        <f aca="false">INDEX(Products!$B$2:$B$9,MATCH(E1177,Products!$A$2:$A$9,0))</f>
        <v>Analytics Plus</v>
      </c>
      <c r="G1177" s="4" t="str">
        <f aca="false">INDEX(Products!$C$2:$C$9,MATCH(E1177,Products!$A$2:$A$9,0))</f>
        <v>Software</v>
      </c>
      <c r="H1177" s="5" t="n">
        <v>2</v>
      </c>
      <c r="I1177" s="6" t="n">
        <f aca="false">INDEX(Products!$D$2:$D$9,MATCH(E1177,Products!$A$2:$A$9,0))</f>
        <v>290</v>
      </c>
      <c r="J1177" s="7" t="n">
        <v>0.25</v>
      </c>
      <c r="K1177" s="8" t="n">
        <f aca="false">H1177*I1177*(1-J1177)</f>
        <v>435</v>
      </c>
      <c r="L1177" s="6" t="n">
        <f aca="false">H1177*INDEX(Products!$E$2:$E$9,MATCH(E1177,Products!$A$2:$A$9,0))</f>
        <v>82</v>
      </c>
      <c r="M1177" s="8" t="n">
        <f aca="false">K1177-L1177</f>
        <v>353</v>
      </c>
      <c r="N1177" s="2" t="s">
        <v>19</v>
      </c>
      <c r="O1177" s="2" t="s">
        <v>72</v>
      </c>
    </row>
    <row r="1178" customFormat="false" ht="15" hidden="false" customHeight="false" outlineLevel="0" collapsed="false">
      <c r="A1178" s="2" t="s">
        <v>1232</v>
      </c>
      <c r="B1178" s="3" t="n">
        <v>46141</v>
      </c>
      <c r="C1178" s="2" t="s">
        <v>41</v>
      </c>
      <c r="D1178" s="2" t="s">
        <v>42</v>
      </c>
      <c r="E1178" s="2" t="s">
        <v>26</v>
      </c>
      <c r="F1178" s="4" t="str">
        <f aca="false">INDEX(Products!$B$2:$B$9,MATCH(E1178,Products!$A$2:$A$9,0))</f>
        <v>Analytics Basic</v>
      </c>
      <c r="G1178" s="4" t="str">
        <f aca="false">INDEX(Products!$C$2:$C$9,MATCH(E1178,Products!$A$2:$A$9,0))</f>
        <v>Software</v>
      </c>
      <c r="H1178" s="5" t="n">
        <v>1</v>
      </c>
      <c r="I1178" s="6" t="n">
        <f aca="false">INDEX(Products!$D$2:$D$9,MATCH(E1178,Products!$A$2:$A$9,0))</f>
        <v>120</v>
      </c>
      <c r="J1178" s="7" t="n">
        <v>0.1</v>
      </c>
      <c r="K1178" s="8" t="n">
        <f aca="false">H1178*I1178*(1-J1178)</f>
        <v>108</v>
      </c>
      <c r="L1178" s="6" t="n">
        <f aca="false">H1178*INDEX(Products!$E$2:$E$9,MATCH(E1178,Products!$A$2:$A$9,0))</f>
        <v>18</v>
      </c>
      <c r="M1178" s="8" t="n">
        <f aca="false">K1178-L1178</f>
        <v>90</v>
      </c>
      <c r="N1178" s="2" t="s">
        <v>19</v>
      </c>
      <c r="O1178" s="2" t="s">
        <v>43</v>
      </c>
    </row>
    <row r="1179" customFormat="false" ht="15" hidden="false" customHeight="false" outlineLevel="0" collapsed="false">
      <c r="A1179" s="2" t="s">
        <v>1233</v>
      </c>
      <c r="B1179" s="3" t="n">
        <v>46142</v>
      </c>
      <c r="C1179" s="2" t="s">
        <v>47</v>
      </c>
      <c r="D1179" s="2" t="s">
        <v>48</v>
      </c>
      <c r="E1179" s="2" t="s">
        <v>57</v>
      </c>
      <c r="F1179" s="4" t="str">
        <f aca="false">INDEX(Products!$B$2:$B$9,MATCH(E1179,Products!$A$2:$A$9,0))</f>
        <v>Edge Gateway</v>
      </c>
      <c r="G1179" s="4" t="str">
        <f aca="false">INDEX(Products!$C$2:$C$9,MATCH(E1179,Products!$A$2:$A$9,0))</f>
        <v>Hardware</v>
      </c>
      <c r="H1179" s="5" t="n">
        <v>12</v>
      </c>
      <c r="I1179" s="6" t="n">
        <f aca="false">INDEX(Products!$D$2:$D$9,MATCH(E1179,Products!$A$2:$A$9,0))</f>
        <v>899</v>
      </c>
      <c r="J1179" s="7" t="n">
        <v>0</v>
      </c>
      <c r="K1179" s="8" t="n">
        <f aca="false">H1179*I1179*(1-J1179)</f>
        <v>10788</v>
      </c>
      <c r="L1179" s="6" t="n">
        <f aca="false">H1179*INDEX(Products!$E$2:$E$9,MATCH(E1179,Products!$A$2:$A$9,0))</f>
        <v>7344</v>
      </c>
      <c r="M1179" s="8" t="n">
        <f aca="false">K1179-L1179</f>
        <v>3444</v>
      </c>
      <c r="N1179" s="2" t="s">
        <v>28</v>
      </c>
      <c r="O1179" s="2" t="s">
        <v>50</v>
      </c>
    </row>
    <row r="1180" customFormat="false" ht="15" hidden="false" customHeight="false" outlineLevel="0" collapsed="false">
      <c r="A1180" s="2" t="s">
        <v>1234</v>
      </c>
      <c r="B1180" s="3" t="n">
        <v>46142</v>
      </c>
      <c r="C1180" s="2" t="s">
        <v>16</v>
      </c>
      <c r="D1180" s="2" t="s">
        <v>35</v>
      </c>
      <c r="E1180" s="2" t="s">
        <v>49</v>
      </c>
      <c r="F1180" s="4" t="str">
        <f aca="false">INDEX(Products!$B$2:$B$9,MATCH(E1180,Products!$A$2:$A$9,0))</f>
        <v>Mounting Kit</v>
      </c>
      <c r="G1180" s="4" t="str">
        <f aca="false">INDEX(Products!$C$2:$C$9,MATCH(E1180,Products!$A$2:$A$9,0))</f>
        <v>Accessories</v>
      </c>
      <c r="H1180" s="5" t="n">
        <v>1</v>
      </c>
      <c r="I1180" s="6" t="n">
        <f aca="false">INDEX(Products!$D$2:$D$9,MATCH(E1180,Products!$A$2:$A$9,0))</f>
        <v>39</v>
      </c>
      <c r="J1180" s="7" t="n">
        <v>0.05</v>
      </c>
      <c r="K1180" s="8" t="n">
        <f aca="false">H1180*I1180*(1-J1180)</f>
        <v>37.05</v>
      </c>
      <c r="L1180" s="6" t="n">
        <f aca="false">H1180*INDEX(Products!$E$2:$E$9,MATCH(E1180,Products!$A$2:$A$9,0))</f>
        <v>31.5</v>
      </c>
      <c r="M1180" s="8" t="n">
        <f aca="false">K1180-L1180</f>
        <v>5.55</v>
      </c>
      <c r="N1180" s="2" t="s">
        <v>28</v>
      </c>
      <c r="O1180" s="2" t="s">
        <v>20</v>
      </c>
    </row>
    <row r="1181" customFormat="false" ht="15" hidden="false" customHeight="false" outlineLevel="0" collapsed="false">
      <c r="A1181" s="2" t="s">
        <v>1235</v>
      </c>
      <c r="B1181" s="3" t="n">
        <v>46142</v>
      </c>
      <c r="C1181" s="2" t="s">
        <v>47</v>
      </c>
      <c r="D1181" s="2" t="s">
        <v>71</v>
      </c>
      <c r="E1181" s="2" t="s">
        <v>26</v>
      </c>
      <c r="F1181" s="4" t="str">
        <f aca="false">INDEX(Products!$B$2:$B$9,MATCH(E1181,Products!$A$2:$A$9,0))</f>
        <v>Analytics Basic</v>
      </c>
      <c r="G1181" s="4" t="str">
        <f aca="false">INDEX(Products!$C$2:$C$9,MATCH(E1181,Products!$A$2:$A$9,0))</f>
        <v>Software</v>
      </c>
      <c r="H1181" s="5" t="n">
        <v>2</v>
      </c>
      <c r="I1181" s="6" t="n">
        <f aca="false">INDEX(Products!$D$2:$D$9,MATCH(E1181,Products!$A$2:$A$9,0))</f>
        <v>120</v>
      </c>
      <c r="J1181" s="7" t="n">
        <v>0</v>
      </c>
      <c r="K1181" s="8" t="n">
        <f aca="false">H1181*I1181*(1-J1181)</f>
        <v>240</v>
      </c>
      <c r="L1181" s="6" t="n">
        <f aca="false">H1181*INDEX(Products!$E$2:$E$9,MATCH(E1181,Products!$A$2:$A$9,0))</f>
        <v>36</v>
      </c>
      <c r="M1181" s="8" t="n">
        <f aca="false">K1181-L1181</f>
        <v>204</v>
      </c>
      <c r="N1181" s="2" t="s">
        <v>38</v>
      </c>
      <c r="O1181" s="2" t="s">
        <v>50</v>
      </c>
    </row>
    <row r="1182" customFormat="false" ht="15" hidden="false" customHeight="false" outlineLevel="0" collapsed="false">
      <c r="A1182" s="2" t="s">
        <v>1236</v>
      </c>
      <c r="B1182" s="3" t="n">
        <v>46143</v>
      </c>
      <c r="C1182" s="2" t="s">
        <v>47</v>
      </c>
      <c r="D1182" s="2" t="s">
        <v>55</v>
      </c>
      <c r="E1182" s="2" t="s">
        <v>49</v>
      </c>
      <c r="F1182" s="4" t="str">
        <f aca="false">INDEX(Products!$B$2:$B$9,MATCH(E1182,Products!$A$2:$A$9,0))</f>
        <v>Mounting Kit</v>
      </c>
      <c r="G1182" s="4" t="str">
        <f aca="false">INDEX(Products!$C$2:$C$9,MATCH(E1182,Products!$A$2:$A$9,0))</f>
        <v>Accessories</v>
      </c>
      <c r="H1182" s="5" t="n">
        <v>1</v>
      </c>
      <c r="I1182" s="6" t="n">
        <f aca="false">INDEX(Products!$D$2:$D$9,MATCH(E1182,Products!$A$2:$A$9,0))</f>
        <v>39</v>
      </c>
      <c r="J1182" s="7" t="n">
        <v>0</v>
      </c>
      <c r="K1182" s="8" t="n">
        <f aca="false">H1182*I1182*(1-J1182)</f>
        <v>39</v>
      </c>
      <c r="L1182" s="6" t="n">
        <f aca="false">H1182*INDEX(Products!$E$2:$E$9,MATCH(E1182,Products!$A$2:$A$9,0))</f>
        <v>31.5</v>
      </c>
      <c r="M1182" s="8" t="n">
        <f aca="false">K1182-L1182</f>
        <v>7.5</v>
      </c>
      <c r="N1182" s="2" t="s">
        <v>28</v>
      </c>
      <c r="O1182" s="2" t="s">
        <v>50</v>
      </c>
    </row>
    <row r="1183" customFormat="false" ht="15" hidden="false" customHeight="false" outlineLevel="0" collapsed="false">
      <c r="A1183" s="2" t="s">
        <v>1237</v>
      </c>
      <c r="B1183" s="3" t="n">
        <v>46143</v>
      </c>
      <c r="C1183" s="2" t="s">
        <v>59</v>
      </c>
      <c r="D1183" s="2" t="s">
        <v>60</v>
      </c>
      <c r="E1183" s="2" t="s">
        <v>23</v>
      </c>
      <c r="F1183" s="4" t="str">
        <f aca="false">INDEX(Products!$B$2:$B$9,MATCH(E1183,Products!$A$2:$A$9,0))</f>
        <v>Sensor Hub S</v>
      </c>
      <c r="G1183" s="4" t="str">
        <f aca="false">INDEX(Products!$C$2:$C$9,MATCH(E1183,Products!$A$2:$A$9,0))</f>
        <v>Hardware</v>
      </c>
      <c r="H1183" s="5" t="n">
        <v>5</v>
      </c>
      <c r="I1183" s="6" t="n">
        <f aca="false">INDEX(Products!$D$2:$D$9,MATCH(E1183,Products!$A$2:$A$9,0))</f>
        <v>189</v>
      </c>
      <c r="J1183" s="7" t="n">
        <v>0.15</v>
      </c>
      <c r="K1183" s="8" t="n">
        <f aca="false">H1183*I1183*(1-J1183)</f>
        <v>803.25</v>
      </c>
      <c r="L1183" s="6" t="n">
        <f aca="false">H1183*INDEX(Products!$E$2:$E$9,MATCH(E1183,Products!$A$2:$A$9,0))</f>
        <v>490</v>
      </c>
      <c r="M1183" s="8" t="n">
        <f aca="false">K1183-L1183</f>
        <v>313.25</v>
      </c>
      <c r="N1183" s="2" t="s">
        <v>38</v>
      </c>
      <c r="O1183" s="2" t="s">
        <v>62</v>
      </c>
    </row>
    <row r="1184" customFormat="false" ht="15" hidden="false" customHeight="false" outlineLevel="0" collapsed="false">
      <c r="A1184" s="2" t="s">
        <v>1238</v>
      </c>
      <c r="B1184" s="3" t="n">
        <v>46143</v>
      </c>
      <c r="C1184" s="2" t="s">
        <v>47</v>
      </c>
      <c r="D1184" s="2" t="s">
        <v>71</v>
      </c>
      <c r="E1184" s="2" t="s">
        <v>26</v>
      </c>
      <c r="F1184" s="4" t="str">
        <f aca="false">INDEX(Products!$B$2:$B$9,MATCH(E1184,Products!$A$2:$A$9,0))</f>
        <v>Analytics Basic</v>
      </c>
      <c r="G1184" s="4" t="str">
        <f aca="false">INDEX(Products!$C$2:$C$9,MATCH(E1184,Products!$A$2:$A$9,0))</f>
        <v>Software</v>
      </c>
      <c r="H1184" s="5" t="n">
        <v>5</v>
      </c>
      <c r="I1184" s="6" t="n">
        <f aca="false">INDEX(Products!$D$2:$D$9,MATCH(E1184,Products!$A$2:$A$9,0))</f>
        <v>120</v>
      </c>
      <c r="J1184" s="7" t="n">
        <v>0</v>
      </c>
      <c r="K1184" s="8" t="n">
        <f aca="false">H1184*I1184*(1-J1184)</f>
        <v>600</v>
      </c>
      <c r="L1184" s="6" t="n">
        <f aca="false">H1184*INDEX(Products!$E$2:$E$9,MATCH(E1184,Products!$A$2:$A$9,0))</f>
        <v>90</v>
      </c>
      <c r="M1184" s="8" t="n">
        <f aca="false">K1184-L1184</f>
        <v>510</v>
      </c>
      <c r="N1184" s="2" t="s">
        <v>28</v>
      </c>
      <c r="O1184" s="2" t="s">
        <v>50</v>
      </c>
    </row>
    <row r="1185" customFormat="false" ht="15" hidden="false" customHeight="false" outlineLevel="0" collapsed="false">
      <c r="A1185" s="2" t="s">
        <v>1239</v>
      </c>
      <c r="B1185" s="3" t="n">
        <v>46143</v>
      </c>
      <c r="C1185" s="2" t="s">
        <v>41</v>
      </c>
      <c r="D1185" s="2" t="s">
        <v>42</v>
      </c>
      <c r="E1185" s="2" t="s">
        <v>18</v>
      </c>
      <c r="F1185" s="4" t="str">
        <f aca="false">INDEX(Products!$B$2:$B$9,MATCH(E1185,Products!$A$2:$A$9,0))</f>
        <v>Sensor Hub Pro</v>
      </c>
      <c r="G1185" s="4" t="str">
        <f aca="false">INDEX(Products!$C$2:$C$9,MATCH(E1185,Products!$A$2:$A$9,0))</f>
        <v>Hardware</v>
      </c>
      <c r="H1185" s="5" t="n">
        <v>1</v>
      </c>
      <c r="I1185" s="6" t="n">
        <f aca="false">INDEX(Products!$D$2:$D$9,MATCH(E1185,Products!$A$2:$A$9,0))</f>
        <v>349</v>
      </c>
      <c r="J1185" s="7" t="n">
        <v>0</v>
      </c>
      <c r="K1185" s="8" t="n">
        <f aca="false">H1185*I1185*(1-J1185)</f>
        <v>349</v>
      </c>
      <c r="L1185" s="6" t="n">
        <f aca="false">H1185*INDEX(Products!$E$2:$E$9,MATCH(E1185,Products!$A$2:$A$9,0))</f>
        <v>201</v>
      </c>
      <c r="M1185" s="8" t="n">
        <f aca="false">K1185-L1185</f>
        <v>148</v>
      </c>
      <c r="N1185" s="2" t="s">
        <v>38</v>
      </c>
      <c r="O1185" s="2" t="s">
        <v>43</v>
      </c>
    </row>
    <row r="1186" customFormat="false" ht="15" hidden="false" customHeight="false" outlineLevel="0" collapsed="false">
      <c r="A1186" s="2" t="s">
        <v>1240</v>
      </c>
      <c r="B1186" s="3" t="n">
        <v>46143</v>
      </c>
      <c r="C1186" s="2" t="s">
        <v>16</v>
      </c>
      <c r="D1186" s="2" t="s">
        <v>22</v>
      </c>
      <c r="E1186" s="2" t="s">
        <v>26</v>
      </c>
      <c r="F1186" s="4" t="str">
        <f aca="false">INDEX(Products!$B$2:$B$9,MATCH(E1186,Products!$A$2:$A$9,0))</f>
        <v>Analytics Basic</v>
      </c>
      <c r="G1186" s="4" t="str">
        <f aca="false">INDEX(Products!$C$2:$C$9,MATCH(E1186,Products!$A$2:$A$9,0))</f>
        <v>Software</v>
      </c>
      <c r="H1186" s="5" t="n">
        <v>5</v>
      </c>
      <c r="I1186" s="6" t="n">
        <f aca="false">INDEX(Products!$D$2:$D$9,MATCH(E1186,Products!$A$2:$A$9,0))</f>
        <v>120</v>
      </c>
      <c r="J1186" s="7" t="n">
        <v>0</v>
      </c>
      <c r="K1186" s="8" t="n">
        <f aca="false">H1186*I1186*(1-J1186)</f>
        <v>600</v>
      </c>
      <c r="L1186" s="6" t="n">
        <f aca="false">H1186*INDEX(Products!$E$2:$E$9,MATCH(E1186,Products!$A$2:$A$9,0))</f>
        <v>90</v>
      </c>
      <c r="M1186" s="8" t="n">
        <f aca="false">K1186-L1186</f>
        <v>510</v>
      </c>
      <c r="N1186" s="2" t="s">
        <v>28</v>
      </c>
      <c r="O1186" s="2" t="s">
        <v>36</v>
      </c>
    </row>
    <row r="1187" customFormat="false" ht="15" hidden="false" customHeight="false" outlineLevel="0" collapsed="false">
      <c r="A1187" s="2" t="s">
        <v>1241</v>
      </c>
      <c r="B1187" s="3" t="n">
        <v>46146</v>
      </c>
      <c r="C1187" s="2" t="s">
        <v>16</v>
      </c>
      <c r="D1187" s="2" t="s">
        <v>35</v>
      </c>
      <c r="E1187" s="2" t="s">
        <v>49</v>
      </c>
      <c r="F1187" s="4" t="str">
        <f aca="false">INDEX(Products!$B$2:$B$9,MATCH(E1187,Products!$A$2:$A$9,0))</f>
        <v>Mounting Kit</v>
      </c>
      <c r="G1187" s="4" t="str">
        <f aca="false">INDEX(Products!$C$2:$C$9,MATCH(E1187,Products!$A$2:$A$9,0))</f>
        <v>Accessories</v>
      </c>
      <c r="H1187" s="5" t="n">
        <v>5</v>
      </c>
      <c r="I1187" s="6" t="n">
        <f aca="false">INDEX(Products!$D$2:$D$9,MATCH(E1187,Products!$A$2:$A$9,0))</f>
        <v>39</v>
      </c>
      <c r="J1187" s="7" t="n">
        <v>0.05</v>
      </c>
      <c r="K1187" s="8" t="n">
        <f aca="false">H1187*I1187*(1-J1187)</f>
        <v>185.25</v>
      </c>
      <c r="L1187" s="6" t="n">
        <f aca="false">H1187*INDEX(Products!$E$2:$E$9,MATCH(E1187,Products!$A$2:$A$9,0))</f>
        <v>157.5</v>
      </c>
      <c r="M1187" s="8" t="n">
        <f aca="false">K1187-L1187</f>
        <v>27.75</v>
      </c>
      <c r="N1187" s="2" t="s">
        <v>28</v>
      </c>
      <c r="O1187" s="2" t="s">
        <v>20</v>
      </c>
    </row>
    <row r="1188" customFormat="false" ht="15" hidden="false" customHeight="false" outlineLevel="0" collapsed="false">
      <c r="A1188" s="2" t="s">
        <v>1242</v>
      </c>
      <c r="B1188" s="3" t="n">
        <v>46146</v>
      </c>
      <c r="C1188" s="2" t="s">
        <v>47</v>
      </c>
      <c r="D1188" s="2" t="s">
        <v>71</v>
      </c>
      <c r="E1188" s="2" t="s">
        <v>26</v>
      </c>
      <c r="F1188" s="4" t="str">
        <f aca="false">INDEX(Products!$B$2:$B$9,MATCH(E1188,Products!$A$2:$A$9,0))</f>
        <v>Analytics Basic</v>
      </c>
      <c r="G1188" s="4" t="str">
        <f aca="false">INDEX(Products!$C$2:$C$9,MATCH(E1188,Products!$A$2:$A$9,0))</f>
        <v>Software</v>
      </c>
      <c r="H1188" s="5" t="n">
        <v>2</v>
      </c>
      <c r="I1188" s="6" t="n">
        <f aca="false">INDEX(Products!$D$2:$D$9,MATCH(E1188,Products!$A$2:$A$9,0))</f>
        <v>120</v>
      </c>
      <c r="J1188" s="7" t="n">
        <v>0.2</v>
      </c>
      <c r="K1188" s="8" t="n">
        <f aca="false">H1188*I1188*(1-J1188)</f>
        <v>192</v>
      </c>
      <c r="L1188" s="6" t="n">
        <f aca="false">H1188*INDEX(Products!$E$2:$E$9,MATCH(E1188,Products!$A$2:$A$9,0))</f>
        <v>36</v>
      </c>
      <c r="M1188" s="8" t="n">
        <f aca="false">K1188-L1188</f>
        <v>156</v>
      </c>
      <c r="N1188" s="2" t="s">
        <v>19</v>
      </c>
      <c r="O1188" s="2" t="s">
        <v>72</v>
      </c>
    </row>
    <row r="1189" customFormat="false" ht="15" hidden="false" customHeight="false" outlineLevel="0" collapsed="false">
      <c r="A1189" s="2" t="s">
        <v>1243</v>
      </c>
      <c r="B1189" s="3" t="n">
        <v>46146</v>
      </c>
      <c r="C1189" s="2" t="s">
        <v>16</v>
      </c>
      <c r="D1189" s="2" t="s">
        <v>22</v>
      </c>
      <c r="E1189" s="2" t="s">
        <v>26</v>
      </c>
      <c r="F1189" s="4" t="str">
        <f aca="false">INDEX(Products!$B$2:$B$9,MATCH(E1189,Products!$A$2:$A$9,0))</f>
        <v>Analytics Basic</v>
      </c>
      <c r="G1189" s="4" t="str">
        <f aca="false">INDEX(Products!$C$2:$C$9,MATCH(E1189,Products!$A$2:$A$9,0))</f>
        <v>Software</v>
      </c>
      <c r="H1189" s="5" t="n">
        <v>1</v>
      </c>
      <c r="I1189" s="6" t="n">
        <f aca="false">INDEX(Products!$D$2:$D$9,MATCH(E1189,Products!$A$2:$A$9,0))</f>
        <v>120</v>
      </c>
      <c r="J1189" s="7" t="n">
        <v>0.1</v>
      </c>
      <c r="K1189" s="8" t="n">
        <f aca="false">H1189*I1189*(1-J1189)</f>
        <v>108</v>
      </c>
      <c r="L1189" s="6" t="n">
        <f aca="false">H1189*INDEX(Products!$E$2:$E$9,MATCH(E1189,Products!$A$2:$A$9,0))</f>
        <v>18</v>
      </c>
      <c r="M1189" s="8" t="n">
        <f aca="false">K1189-L1189</f>
        <v>90</v>
      </c>
      <c r="N1189" s="2" t="s">
        <v>19</v>
      </c>
      <c r="O1189" s="2" t="s">
        <v>20</v>
      </c>
    </row>
    <row r="1190" customFormat="false" ht="15" hidden="false" customHeight="false" outlineLevel="0" collapsed="false">
      <c r="A1190" s="2" t="s">
        <v>1244</v>
      </c>
      <c r="B1190" s="3" t="n">
        <v>46147</v>
      </c>
      <c r="C1190" s="2" t="s">
        <v>41</v>
      </c>
      <c r="D1190" s="2" t="s">
        <v>42</v>
      </c>
      <c r="E1190" s="2" t="s">
        <v>23</v>
      </c>
      <c r="F1190" s="4" t="str">
        <f aca="false">INDEX(Products!$B$2:$B$9,MATCH(E1190,Products!$A$2:$A$9,0))</f>
        <v>Sensor Hub S</v>
      </c>
      <c r="G1190" s="4" t="str">
        <f aca="false">INDEX(Products!$C$2:$C$9,MATCH(E1190,Products!$A$2:$A$9,0))</f>
        <v>Hardware</v>
      </c>
      <c r="H1190" s="5" t="n">
        <v>2</v>
      </c>
      <c r="I1190" s="6" t="n">
        <f aca="false">INDEX(Products!$D$2:$D$9,MATCH(E1190,Products!$A$2:$A$9,0))</f>
        <v>189</v>
      </c>
      <c r="J1190" s="7" t="n">
        <v>0.1</v>
      </c>
      <c r="K1190" s="8" t="n">
        <f aca="false">H1190*I1190*(1-J1190)</f>
        <v>340.2</v>
      </c>
      <c r="L1190" s="6" t="n">
        <f aca="false">H1190*INDEX(Products!$E$2:$E$9,MATCH(E1190,Products!$A$2:$A$9,0))</f>
        <v>196</v>
      </c>
      <c r="M1190" s="8" t="n">
        <f aca="false">K1190-L1190</f>
        <v>144.2</v>
      </c>
      <c r="N1190" s="2" t="s">
        <v>19</v>
      </c>
      <c r="O1190" s="2" t="s">
        <v>43</v>
      </c>
    </row>
    <row r="1191" customFormat="false" ht="15" hidden="false" customHeight="false" outlineLevel="0" collapsed="false">
      <c r="A1191" s="2" t="s">
        <v>1245</v>
      </c>
      <c r="B1191" s="3" t="n">
        <v>46148</v>
      </c>
      <c r="C1191" s="2" t="s">
        <v>47</v>
      </c>
      <c r="D1191" s="2" t="s">
        <v>48</v>
      </c>
      <c r="E1191" s="2" t="s">
        <v>18</v>
      </c>
      <c r="F1191" s="4" t="str">
        <f aca="false">INDEX(Products!$B$2:$B$9,MATCH(E1191,Products!$A$2:$A$9,0))</f>
        <v>Sensor Hub Pro</v>
      </c>
      <c r="G1191" s="4" t="str">
        <f aca="false">INDEX(Products!$C$2:$C$9,MATCH(E1191,Products!$A$2:$A$9,0))</f>
        <v>Hardware</v>
      </c>
      <c r="H1191" s="5" t="n">
        <v>5</v>
      </c>
      <c r="I1191" s="6" t="n">
        <f aca="false">INDEX(Products!$D$2:$D$9,MATCH(E1191,Products!$A$2:$A$9,0))</f>
        <v>349</v>
      </c>
      <c r="J1191" s="7" t="n">
        <v>0</v>
      </c>
      <c r="K1191" s="8" t="n">
        <f aca="false">H1191*I1191*(1-J1191)</f>
        <v>1745</v>
      </c>
      <c r="L1191" s="6" t="n">
        <f aca="false">H1191*INDEX(Products!$E$2:$E$9,MATCH(E1191,Products!$A$2:$A$9,0))</f>
        <v>1005</v>
      </c>
      <c r="M1191" s="8" t="n">
        <f aca="false">K1191-L1191</f>
        <v>740</v>
      </c>
      <c r="N1191" s="2" t="s">
        <v>28</v>
      </c>
      <c r="O1191" s="2" t="s">
        <v>72</v>
      </c>
    </row>
    <row r="1192" customFormat="false" ht="15" hidden="false" customHeight="false" outlineLevel="0" collapsed="false">
      <c r="A1192" s="2" t="s">
        <v>1246</v>
      </c>
      <c r="B1192" s="3" t="n">
        <v>46148</v>
      </c>
      <c r="C1192" s="2" t="s">
        <v>16</v>
      </c>
      <c r="D1192" s="2" t="s">
        <v>22</v>
      </c>
      <c r="E1192" s="2" t="s">
        <v>23</v>
      </c>
      <c r="F1192" s="4" t="str">
        <f aca="false">INDEX(Products!$B$2:$B$9,MATCH(E1192,Products!$A$2:$A$9,0))</f>
        <v>Sensor Hub S</v>
      </c>
      <c r="G1192" s="4" t="str">
        <f aca="false">INDEX(Products!$C$2:$C$9,MATCH(E1192,Products!$A$2:$A$9,0))</f>
        <v>Hardware</v>
      </c>
      <c r="H1192" s="5" t="n">
        <v>1</v>
      </c>
      <c r="I1192" s="6" t="n">
        <f aca="false">INDEX(Products!$D$2:$D$9,MATCH(E1192,Products!$A$2:$A$9,0))</f>
        <v>189</v>
      </c>
      <c r="J1192" s="7" t="n">
        <v>0.15</v>
      </c>
      <c r="K1192" s="8" t="n">
        <f aca="false">H1192*I1192*(1-J1192)</f>
        <v>160.65</v>
      </c>
      <c r="L1192" s="6" t="n">
        <f aca="false">H1192*INDEX(Products!$E$2:$E$9,MATCH(E1192,Products!$A$2:$A$9,0))</f>
        <v>98</v>
      </c>
      <c r="M1192" s="8" t="n">
        <f aca="false">K1192-L1192</f>
        <v>62.65</v>
      </c>
      <c r="N1192" s="2" t="s">
        <v>28</v>
      </c>
      <c r="O1192" s="2" t="s">
        <v>36</v>
      </c>
    </row>
    <row r="1193" customFormat="false" ht="15" hidden="false" customHeight="false" outlineLevel="0" collapsed="false">
      <c r="A1193" s="2" t="s">
        <v>1247</v>
      </c>
      <c r="B1193" s="3" t="n">
        <v>46148</v>
      </c>
      <c r="C1193" s="2" t="s">
        <v>16</v>
      </c>
      <c r="D1193" s="2" t="s">
        <v>25</v>
      </c>
      <c r="E1193" s="2" t="s">
        <v>61</v>
      </c>
      <c r="F1193" s="4" t="str">
        <f aca="false">INDEX(Products!$B$2:$B$9,MATCH(E1193,Products!$A$2:$A$9,0))</f>
        <v>Install Service</v>
      </c>
      <c r="G1193" s="4" t="str">
        <f aca="false">INDEX(Products!$C$2:$C$9,MATCH(E1193,Products!$A$2:$A$9,0))</f>
        <v>Services</v>
      </c>
      <c r="H1193" s="5" t="n">
        <v>1</v>
      </c>
      <c r="I1193" s="6" t="n">
        <f aca="false">INDEX(Products!$D$2:$D$9,MATCH(E1193,Products!$A$2:$A$9,0))</f>
        <v>450</v>
      </c>
      <c r="J1193" s="7" t="n">
        <v>0.15</v>
      </c>
      <c r="K1193" s="8" t="n">
        <f aca="false">H1193*I1193*(1-J1193)</f>
        <v>382.5</v>
      </c>
      <c r="L1193" s="6" t="n">
        <f aca="false">H1193*INDEX(Products!$E$2:$E$9,MATCH(E1193,Products!$A$2:$A$9,0))</f>
        <v>310</v>
      </c>
      <c r="M1193" s="8" t="n">
        <f aca="false">K1193-L1193</f>
        <v>72.5</v>
      </c>
      <c r="N1193" s="2" t="s">
        <v>28</v>
      </c>
      <c r="O1193" s="2" t="s">
        <v>20</v>
      </c>
    </row>
    <row r="1194" customFormat="false" ht="15" hidden="false" customHeight="false" outlineLevel="0" collapsed="false">
      <c r="A1194" s="2" t="s">
        <v>1248</v>
      </c>
      <c r="B1194" s="3" t="n">
        <v>46148</v>
      </c>
      <c r="C1194" s="2" t="s">
        <v>41</v>
      </c>
      <c r="D1194" s="2" t="s">
        <v>42</v>
      </c>
      <c r="E1194" s="2" t="s">
        <v>32</v>
      </c>
      <c r="F1194" s="4" t="str">
        <f aca="false">INDEX(Products!$B$2:$B$9,MATCH(E1194,Products!$A$2:$A$9,0))</f>
        <v>Analytics Plus</v>
      </c>
      <c r="G1194" s="4" t="str">
        <f aca="false">INDEX(Products!$C$2:$C$9,MATCH(E1194,Products!$A$2:$A$9,0))</f>
        <v>Software</v>
      </c>
      <c r="H1194" s="5" t="n">
        <v>5</v>
      </c>
      <c r="I1194" s="6" t="n">
        <f aca="false">INDEX(Products!$D$2:$D$9,MATCH(E1194,Products!$A$2:$A$9,0))</f>
        <v>290</v>
      </c>
      <c r="J1194" s="7" t="n">
        <v>0</v>
      </c>
      <c r="K1194" s="8" t="n">
        <f aca="false">H1194*I1194*(1-J1194)</f>
        <v>1450</v>
      </c>
      <c r="L1194" s="6" t="n">
        <f aca="false">H1194*INDEX(Products!$E$2:$E$9,MATCH(E1194,Products!$A$2:$A$9,0))</f>
        <v>205</v>
      </c>
      <c r="M1194" s="8" t="n">
        <f aca="false">K1194-L1194</f>
        <v>1245</v>
      </c>
      <c r="N1194" s="2" t="s">
        <v>28</v>
      </c>
      <c r="O1194" s="2" t="s">
        <v>52</v>
      </c>
    </row>
    <row r="1195" customFormat="false" ht="15" hidden="false" customHeight="false" outlineLevel="0" collapsed="false">
      <c r="A1195" s="2" t="s">
        <v>1249</v>
      </c>
      <c r="B1195" s="3" t="n">
        <v>46149</v>
      </c>
      <c r="C1195" s="2" t="s">
        <v>16</v>
      </c>
      <c r="D1195" s="2" t="s">
        <v>25</v>
      </c>
      <c r="E1195" s="2" t="s">
        <v>23</v>
      </c>
      <c r="F1195" s="4" t="str">
        <f aca="false">INDEX(Products!$B$2:$B$9,MATCH(E1195,Products!$A$2:$A$9,0))</f>
        <v>Sensor Hub S</v>
      </c>
      <c r="G1195" s="4" t="str">
        <f aca="false">INDEX(Products!$C$2:$C$9,MATCH(E1195,Products!$A$2:$A$9,0))</f>
        <v>Hardware</v>
      </c>
      <c r="H1195" s="5" t="n">
        <v>1</v>
      </c>
      <c r="I1195" s="6" t="n">
        <f aca="false">INDEX(Products!$D$2:$D$9,MATCH(E1195,Products!$A$2:$A$9,0))</f>
        <v>189</v>
      </c>
      <c r="J1195" s="7" t="n">
        <v>0.15</v>
      </c>
      <c r="K1195" s="8" t="n">
        <f aca="false">H1195*I1195*(1-J1195)</f>
        <v>160.65</v>
      </c>
      <c r="L1195" s="6" t="n">
        <f aca="false">H1195*INDEX(Products!$E$2:$E$9,MATCH(E1195,Products!$A$2:$A$9,0))</f>
        <v>98</v>
      </c>
      <c r="M1195" s="8" t="n">
        <f aca="false">K1195-L1195</f>
        <v>62.65</v>
      </c>
      <c r="N1195" s="2" t="s">
        <v>19</v>
      </c>
      <c r="O1195" s="2" t="s">
        <v>36</v>
      </c>
    </row>
    <row r="1196" customFormat="false" ht="15" hidden="false" customHeight="false" outlineLevel="0" collapsed="false">
      <c r="A1196" s="2" t="s">
        <v>1250</v>
      </c>
      <c r="B1196" s="3" t="n">
        <v>46149</v>
      </c>
      <c r="C1196" s="2" t="s">
        <v>16</v>
      </c>
      <c r="D1196" s="2" t="s">
        <v>17</v>
      </c>
      <c r="E1196" s="2" t="s">
        <v>18</v>
      </c>
      <c r="F1196" s="4" t="str">
        <f aca="false">INDEX(Products!$B$2:$B$9,MATCH(E1196,Products!$A$2:$A$9,0))</f>
        <v>Sensor Hub Pro</v>
      </c>
      <c r="G1196" s="4" t="str">
        <f aca="false">INDEX(Products!$C$2:$C$9,MATCH(E1196,Products!$A$2:$A$9,0))</f>
        <v>Hardware</v>
      </c>
      <c r="H1196" s="5" t="n">
        <v>1</v>
      </c>
      <c r="I1196" s="6" t="n">
        <f aca="false">INDEX(Products!$D$2:$D$9,MATCH(E1196,Products!$A$2:$A$9,0))</f>
        <v>349</v>
      </c>
      <c r="J1196" s="7" t="n">
        <v>0.25</v>
      </c>
      <c r="K1196" s="8" t="n">
        <f aca="false">H1196*I1196*(1-J1196)</f>
        <v>261.75</v>
      </c>
      <c r="L1196" s="6" t="n">
        <f aca="false">H1196*INDEX(Products!$E$2:$E$9,MATCH(E1196,Products!$A$2:$A$9,0))</f>
        <v>201</v>
      </c>
      <c r="M1196" s="8" t="n">
        <f aca="false">K1196-L1196</f>
        <v>60.75</v>
      </c>
      <c r="N1196" s="2" t="s">
        <v>19</v>
      </c>
      <c r="O1196" s="2" t="s">
        <v>36</v>
      </c>
    </row>
    <row r="1197" customFormat="false" ht="15" hidden="false" customHeight="false" outlineLevel="0" collapsed="false">
      <c r="A1197" s="2" t="s">
        <v>1251</v>
      </c>
      <c r="B1197" s="3" t="n">
        <v>46150</v>
      </c>
      <c r="C1197" s="2" t="s">
        <v>47</v>
      </c>
      <c r="D1197" s="2" t="s">
        <v>157</v>
      </c>
      <c r="E1197" s="2" t="s">
        <v>26</v>
      </c>
      <c r="F1197" s="4" t="str">
        <f aca="false">INDEX(Products!$B$2:$B$9,MATCH(E1197,Products!$A$2:$A$9,0))</f>
        <v>Analytics Basic</v>
      </c>
      <c r="G1197" s="4" t="str">
        <f aca="false">INDEX(Products!$C$2:$C$9,MATCH(E1197,Products!$A$2:$A$9,0))</f>
        <v>Software</v>
      </c>
      <c r="H1197" s="5" t="n">
        <v>1</v>
      </c>
      <c r="I1197" s="6" t="n">
        <f aca="false">INDEX(Products!$D$2:$D$9,MATCH(E1197,Products!$A$2:$A$9,0))</f>
        <v>120</v>
      </c>
      <c r="J1197" s="7" t="n">
        <v>0.05</v>
      </c>
      <c r="K1197" s="8" t="n">
        <f aca="false">H1197*I1197*(1-J1197)</f>
        <v>114</v>
      </c>
      <c r="L1197" s="6" t="n">
        <f aca="false">H1197*INDEX(Products!$E$2:$E$9,MATCH(E1197,Products!$A$2:$A$9,0))</f>
        <v>18</v>
      </c>
      <c r="M1197" s="8" t="n">
        <f aca="false">K1197-L1197</f>
        <v>96</v>
      </c>
      <c r="N1197" s="2" t="s">
        <v>38</v>
      </c>
      <c r="O1197" s="2" t="s">
        <v>50</v>
      </c>
    </row>
    <row r="1198" customFormat="false" ht="15" hidden="false" customHeight="false" outlineLevel="0" collapsed="false">
      <c r="A1198" s="2" t="s">
        <v>1252</v>
      </c>
      <c r="B1198" s="3" t="n">
        <v>46150</v>
      </c>
      <c r="C1198" s="2" t="s">
        <v>47</v>
      </c>
      <c r="D1198" s="2" t="s">
        <v>48</v>
      </c>
      <c r="E1198" s="2" t="s">
        <v>32</v>
      </c>
      <c r="F1198" s="4" t="str">
        <f aca="false">INDEX(Products!$B$2:$B$9,MATCH(E1198,Products!$A$2:$A$9,0))</f>
        <v>Analytics Plus</v>
      </c>
      <c r="G1198" s="4" t="str">
        <f aca="false">INDEX(Products!$C$2:$C$9,MATCH(E1198,Products!$A$2:$A$9,0))</f>
        <v>Software</v>
      </c>
      <c r="H1198" s="5" t="n">
        <v>1</v>
      </c>
      <c r="I1198" s="6" t="n">
        <f aca="false">INDEX(Products!$D$2:$D$9,MATCH(E1198,Products!$A$2:$A$9,0))</f>
        <v>290</v>
      </c>
      <c r="J1198" s="7" t="n">
        <v>0.15</v>
      </c>
      <c r="K1198" s="8" t="n">
        <f aca="false">H1198*I1198*(1-J1198)</f>
        <v>246.5</v>
      </c>
      <c r="L1198" s="6" t="n">
        <f aca="false">H1198*INDEX(Products!$E$2:$E$9,MATCH(E1198,Products!$A$2:$A$9,0))</f>
        <v>41</v>
      </c>
      <c r="M1198" s="8" t="n">
        <f aca="false">K1198-L1198</f>
        <v>205.5</v>
      </c>
      <c r="N1198" s="2" t="s">
        <v>38</v>
      </c>
      <c r="O1198" s="2" t="s">
        <v>50</v>
      </c>
    </row>
    <row r="1199" customFormat="false" ht="15" hidden="false" customHeight="false" outlineLevel="0" collapsed="false">
      <c r="A1199" s="2" t="s">
        <v>1253</v>
      </c>
      <c r="B1199" s="3" t="n">
        <v>46150</v>
      </c>
      <c r="C1199" s="2" t="s">
        <v>41</v>
      </c>
      <c r="D1199" s="2" t="s">
        <v>66</v>
      </c>
      <c r="E1199" s="2" t="s">
        <v>57</v>
      </c>
      <c r="F1199" s="4" t="str">
        <f aca="false">INDEX(Products!$B$2:$B$9,MATCH(E1199,Products!$A$2:$A$9,0))</f>
        <v>Edge Gateway</v>
      </c>
      <c r="G1199" s="4" t="str">
        <f aca="false">INDEX(Products!$C$2:$C$9,MATCH(E1199,Products!$A$2:$A$9,0))</f>
        <v>Hardware</v>
      </c>
      <c r="H1199" s="5" t="n">
        <v>1</v>
      </c>
      <c r="I1199" s="6" t="n">
        <f aca="false">INDEX(Products!$D$2:$D$9,MATCH(E1199,Products!$A$2:$A$9,0))</f>
        <v>899</v>
      </c>
      <c r="J1199" s="7" t="n">
        <v>0.15</v>
      </c>
      <c r="K1199" s="8" t="n">
        <f aca="false">H1199*I1199*(1-J1199)</f>
        <v>764.15</v>
      </c>
      <c r="L1199" s="6" t="n">
        <f aca="false">H1199*INDEX(Products!$E$2:$E$9,MATCH(E1199,Products!$A$2:$A$9,0))</f>
        <v>612</v>
      </c>
      <c r="M1199" s="8" t="n">
        <f aca="false">K1199-L1199</f>
        <v>152.15</v>
      </c>
      <c r="N1199" s="2" t="s">
        <v>38</v>
      </c>
      <c r="O1199" s="2" t="s">
        <v>43</v>
      </c>
    </row>
    <row r="1200" customFormat="false" ht="15" hidden="false" customHeight="false" outlineLevel="0" collapsed="false">
      <c r="A1200" s="2" t="s">
        <v>1254</v>
      </c>
      <c r="B1200" s="3" t="n">
        <v>46150</v>
      </c>
      <c r="C1200" s="2" t="s">
        <v>16</v>
      </c>
      <c r="D1200" s="2" t="s">
        <v>17</v>
      </c>
      <c r="E1200" s="2" t="s">
        <v>68</v>
      </c>
      <c r="F1200" s="4" t="str">
        <f aca="false">INDEX(Products!$B$2:$B$9,MATCH(E1200,Products!$A$2:$A$9,0))</f>
        <v>Premium Support</v>
      </c>
      <c r="G1200" s="4" t="str">
        <f aca="false">INDEX(Products!$C$2:$C$9,MATCH(E1200,Products!$A$2:$A$9,0))</f>
        <v>Services</v>
      </c>
      <c r="H1200" s="5" t="n">
        <v>2</v>
      </c>
      <c r="I1200" s="6" t="n">
        <f aca="false">INDEX(Products!$D$2:$D$9,MATCH(E1200,Products!$A$2:$A$9,0))</f>
        <v>600</v>
      </c>
      <c r="J1200" s="7" t="n">
        <v>0.1</v>
      </c>
      <c r="K1200" s="8" t="n">
        <f aca="false">H1200*I1200*(1-J1200)</f>
        <v>1080</v>
      </c>
      <c r="L1200" s="6" t="n">
        <f aca="false">H1200*INDEX(Products!$E$2:$E$9,MATCH(E1200,Products!$A$2:$A$9,0))</f>
        <v>790</v>
      </c>
      <c r="M1200" s="8" t="n">
        <f aca="false">K1200-L1200</f>
        <v>290</v>
      </c>
      <c r="N1200" s="2" t="s">
        <v>19</v>
      </c>
      <c r="O1200" s="2" t="s">
        <v>36</v>
      </c>
    </row>
    <row r="1201" customFormat="false" ht="15" hidden="false" customHeight="false" outlineLevel="0" collapsed="false">
      <c r="A1201" s="2" t="s">
        <v>1255</v>
      </c>
      <c r="B1201" s="3" t="n">
        <v>46153</v>
      </c>
      <c r="C1201" s="2" t="s">
        <v>47</v>
      </c>
      <c r="D1201" s="2" t="s">
        <v>71</v>
      </c>
      <c r="E1201" s="2" t="s">
        <v>32</v>
      </c>
      <c r="F1201" s="4" t="str">
        <f aca="false">INDEX(Products!$B$2:$B$9,MATCH(E1201,Products!$A$2:$A$9,0))</f>
        <v>Analytics Plus</v>
      </c>
      <c r="G1201" s="4" t="str">
        <f aca="false">INDEX(Products!$C$2:$C$9,MATCH(E1201,Products!$A$2:$A$9,0))</f>
        <v>Software</v>
      </c>
      <c r="H1201" s="5" t="n">
        <v>5</v>
      </c>
      <c r="I1201" s="6" t="n">
        <f aca="false">INDEX(Products!$D$2:$D$9,MATCH(E1201,Products!$A$2:$A$9,0))</f>
        <v>290</v>
      </c>
      <c r="J1201" s="7" t="n">
        <v>0.05</v>
      </c>
      <c r="K1201" s="8" t="n">
        <f aca="false">H1201*I1201*(1-J1201)</f>
        <v>1377.5</v>
      </c>
      <c r="L1201" s="6" t="n">
        <f aca="false">H1201*INDEX(Products!$E$2:$E$9,MATCH(E1201,Products!$A$2:$A$9,0))</f>
        <v>205</v>
      </c>
      <c r="M1201" s="8" t="n">
        <f aca="false">K1201-L1201</f>
        <v>1172.5</v>
      </c>
      <c r="N1201" s="2" t="s">
        <v>38</v>
      </c>
      <c r="O1201" s="2" t="s">
        <v>72</v>
      </c>
    </row>
    <row r="1202" customFormat="false" ht="15" hidden="false" customHeight="false" outlineLevel="0" collapsed="false">
      <c r="A1202" s="2" t="s">
        <v>1256</v>
      </c>
      <c r="B1202" s="3" t="n">
        <v>46153</v>
      </c>
      <c r="C1202" s="2" t="s">
        <v>16</v>
      </c>
      <c r="D1202" s="2" t="s">
        <v>17</v>
      </c>
      <c r="E1202" s="2" t="s">
        <v>32</v>
      </c>
      <c r="F1202" s="4" t="str">
        <f aca="false">INDEX(Products!$B$2:$B$9,MATCH(E1202,Products!$A$2:$A$9,0))</f>
        <v>Analytics Plus</v>
      </c>
      <c r="G1202" s="4" t="str">
        <f aca="false">INDEX(Products!$C$2:$C$9,MATCH(E1202,Products!$A$2:$A$9,0))</f>
        <v>Software</v>
      </c>
      <c r="H1202" s="5" t="n">
        <v>1</v>
      </c>
      <c r="I1202" s="6" t="n">
        <f aca="false">INDEX(Products!$D$2:$D$9,MATCH(E1202,Products!$A$2:$A$9,0))</f>
        <v>290</v>
      </c>
      <c r="J1202" s="7" t="n">
        <v>0</v>
      </c>
      <c r="K1202" s="8" t="n">
        <f aca="false">H1202*I1202*(1-J1202)</f>
        <v>290</v>
      </c>
      <c r="L1202" s="6" t="n">
        <f aca="false">H1202*INDEX(Products!$E$2:$E$9,MATCH(E1202,Products!$A$2:$A$9,0))</f>
        <v>41</v>
      </c>
      <c r="M1202" s="8" t="n">
        <f aca="false">K1202-L1202</f>
        <v>249</v>
      </c>
      <c r="N1202" s="2" t="s">
        <v>28</v>
      </c>
      <c r="O1202" s="2" t="s">
        <v>20</v>
      </c>
    </row>
    <row r="1203" customFormat="false" ht="15" hidden="false" customHeight="false" outlineLevel="0" collapsed="false">
      <c r="A1203" s="2" t="s">
        <v>1257</v>
      </c>
      <c r="B1203" s="3" t="n">
        <v>46153</v>
      </c>
      <c r="C1203" s="2" t="s">
        <v>41</v>
      </c>
      <c r="D1203" s="2" t="s">
        <v>42</v>
      </c>
      <c r="E1203" s="2" t="s">
        <v>18</v>
      </c>
      <c r="F1203" s="4" t="str">
        <f aca="false">INDEX(Products!$B$2:$B$9,MATCH(E1203,Products!$A$2:$A$9,0))</f>
        <v>Sensor Hub Pro</v>
      </c>
      <c r="G1203" s="4" t="str">
        <f aca="false">INDEX(Products!$C$2:$C$9,MATCH(E1203,Products!$A$2:$A$9,0))</f>
        <v>Hardware</v>
      </c>
      <c r="H1203" s="5" t="n">
        <v>8</v>
      </c>
      <c r="I1203" s="6" t="n">
        <f aca="false">INDEX(Products!$D$2:$D$9,MATCH(E1203,Products!$A$2:$A$9,0))</f>
        <v>349</v>
      </c>
      <c r="J1203" s="7" t="n">
        <v>0.05</v>
      </c>
      <c r="K1203" s="8" t="n">
        <f aca="false">H1203*I1203*(1-J1203)</f>
        <v>2652.4</v>
      </c>
      <c r="L1203" s="6" t="n">
        <f aca="false">H1203*INDEX(Products!$E$2:$E$9,MATCH(E1203,Products!$A$2:$A$9,0))</f>
        <v>1608</v>
      </c>
      <c r="M1203" s="8" t="n">
        <f aca="false">K1203-L1203</f>
        <v>1044.4</v>
      </c>
      <c r="N1203" s="2" t="s">
        <v>28</v>
      </c>
      <c r="O1203" s="2" t="s">
        <v>52</v>
      </c>
    </row>
    <row r="1204" customFormat="false" ht="15" hidden="false" customHeight="false" outlineLevel="0" collapsed="false">
      <c r="A1204" s="2" t="s">
        <v>1258</v>
      </c>
      <c r="B1204" s="3" t="n">
        <v>46153</v>
      </c>
      <c r="C1204" s="2" t="s">
        <v>47</v>
      </c>
      <c r="D1204" s="2" t="s">
        <v>55</v>
      </c>
      <c r="E1204" s="2" t="s">
        <v>49</v>
      </c>
      <c r="F1204" s="4" t="str">
        <f aca="false">INDEX(Products!$B$2:$B$9,MATCH(E1204,Products!$A$2:$A$9,0))</f>
        <v>Mounting Kit</v>
      </c>
      <c r="G1204" s="4" t="str">
        <f aca="false">INDEX(Products!$C$2:$C$9,MATCH(E1204,Products!$A$2:$A$9,0))</f>
        <v>Accessories</v>
      </c>
      <c r="H1204" s="5" t="n">
        <v>8</v>
      </c>
      <c r="I1204" s="6" t="n">
        <f aca="false">INDEX(Products!$D$2:$D$9,MATCH(E1204,Products!$A$2:$A$9,0))</f>
        <v>39</v>
      </c>
      <c r="J1204" s="7" t="n">
        <v>0.15</v>
      </c>
      <c r="K1204" s="8" t="n">
        <f aca="false">H1204*I1204*(1-J1204)</f>
        <v>265.2</v>
      </c>
      <c r="L1204" s="6" t="n">
        <f aca="false">H1204*INDEX(Products!$E$2:$E$9,MATCH(E1204,Products!$A$2:$A$9,0))</f>
        <v>252</v>
      </c>
      <c r="M1204" s="8" t="n">
        <f aca="false">K1204-L1204</f>
        <v>13.2</v>
      </c>
      <c r="N1204" s="2" t="s">
        <v>38</v>
      </c>
      <c r="O1204" s="2" t="s">
        <v>50</v>
      </c>
    </row>
    <row r="1205" customFormat="false" ht="15" hidden="false" customHeight="false" outlineLevel="0" collapsed="false">
      <c r="A1205" s="2" t="s">
        <v>1259</v>
      </c>
      <c r="B1205" s="3" t="n">
        <v>46153</v>
      </c>
      <c r="C1205" s="2" t="s">
        <v>16</v>
      </c>
      <c r="D1205" s="2" t="s">
        <v>17</v>
      </c>
      <c r="E1205" s="2" t="s">
        <v>23</v>
      </c>
      <c r="F1205" s="4" t="str">
        <f aca="false">INDEX(Products!$B$2:$B$9,MATCH(E1205,Products!$A$2:$A$9,0))</f>
        <v>Sensor Hub S</v>
      </c>
      <c r="G1205" s="4" t="str">
        <f aca="false">INDEX(Products!$C$2:$C$9,MATCH(E1205,Products!$A$2:$A$9,0))</f>
        <v>Hardware</v>
      </c>
      <c r="H1205" s="5" t="n">
        <v>2</v>
      </c>
      <c r="I1205" s="6" t="n">
        <f aca="false">INDEX(Products!$D$2:$D$9,MATCH(E1205,Products!$A$2:$A$9,0))</f>
        <v>189</v>
      </c>
      <c r="J1205" s="7" t="n">
        <v>0.05</v>
      </c>
      <c r="K1205" s="8" t="n">
        <f aca="false">H1205*I1205*(1-J1205)</f>
        <v>359.1</v>
      </c>
      <c r="L1205" s="6" t="n">
        <f aca="false">H1205*INDEX(Products!$E$2:$E$9,MATCH(E1205,Products!$A$2:$A$9,0))</f>
        <v>196</v>
      </c>
      <c r="M1205" s="8" t="n">
        <f aca="false">K1205-L1205</f>
        <v>163.1</v>
      </c>
      <c r="N1205" s="2" t="s">
        <v>38</v>
      </c>
      <c r="O1205" s="2" t="s">
        <v>36</v>
      </c>
    </row>
    <row r="1206" customFormat="false" ht="15" hidden="false" customHeight="false" outlineLevel="0" collapsed="false">
      <c r="A1206" s="2" t="s">
        <v>1260</v>
      </c>
      <c r="B1206" s="3" t="n">
        <v>46154</v>
      </c>
      <c r="C1206" s="2" t="s">
        <v>30</v>
      </c>
      <c r="D1206" s="2" t="s">
        <v>31</v>
      </c>
      <c r="E1206" s="2" t="s">
        <v>49</v>
      </c>
      <c r="F1206" s="4" t="str">
        <f aca="false">INDEX(Products!$B$2:$B$9,MATCH(E1206,Products!$A$2:$A$9,0))</f>
        <v>Mounting Kit</v>
      </c>
      <c r="G1206" s="4" t="str">
        <f aca="false">INDEX(Products!$C$2:$C$9,MATCH(E1206,Products!$A$2:$A$9,0))</f>
        <v>Accessories</v>
      </c>
      <c r="H1206" s="5" t="n">
        <v>8</v>
      </c>
      <c r="I1206" s="6" t="n">
        <f aca="false">INDEX(Products!$D$2:$D$9,MATCH(E1206,Products!$A$2:$A$9,0))</f>
        <v>39</v>
      </c>
      <c r="J1206" s="7" t="n">
        <v>0.05</v>
      </c>
      <c r="K1206" s="8" t="n">
        <f aca="false">H1206*I1206*(1-J1206)</f>
        <v>296.4</v>
      </c>
      <c r="L1206" s="6" t="n">
        <f aca="false">H1206*INDEX(Products!$E$2:$E$9,MATCH(E1206,Products!$A$2:$A$9,0))</f>
        <v>252</v>
      </c>
      <c r="M1206" s="8" t="n">
        <f aca="false">K1206-L1206</f>
        <v>44.4</v>
      </c>
      <c r="N1206" s="2" t="s">
        <v>28</v>
      </c>
      <c r="O1206" s="2" t="s">
        <v>33</v>
      </c>
    </row>
    <row r="1207" customFormat="false" ht="15" hidden="false" customHeight="false" outlineLevel="0" collapsed="false">
      <c r="A1207" s="2" t="s">
        <v>1261</v>
      </c>
      <c r="B1207" s="3" t="n">
        <v>46154</v>
      </c>
      <c r="C1207" s="2" t="s">
        <v>41</v>
      </c>
      <c r="D1207" s="2" t="s">
        <v>42</v>
      </c>
      <c r="E1207" s="2" t="s">
        <v>18</v>
      </c>
      <c r="F1207" s="4" t="str">
        <f aca="false">INDEX(Products!$B$2:$B$9,MATCH(E1207,Products!$A$2:$A$9,0))</f>
        <v>Sensor Hub Pro</v>
      </c>
      <c r="G1207" s="4" t="str">
        <f aca="false">INDEX(Products!$C$2:$C$9,MATCH(E1207,Products!$A$2:$A$9,0))</f>
        <v>Hardware</v>
      </c>
      <c r="H1207" s="5" t="n">
        <v>2</v>
      </c>
      <c r="I1207" s="6" t="n">
        <f aca="false">INDEX(Products!$D$2:$D$9,MATCH(E1207,Products!$A$2:$A$9,0))</f>
        <v>349</v>
      </c>
      <c r="J1207" s="7" t="n">
        <v>0.1</v>
      </c>
      <c r="K1207" s="8" t="n">
        <f aca="false">H1207*I1207*(1-J1207)</f>
        <v>628.2</v>
      </c>
      <c r="L1207" s="6" t="n">
        <f aca="false">H1207*INDEX(Products!$E$2:$E$9,MATCH(E1207,Products!$A$2:$A$9,0))</f>
        <v>402</v>
      </c>
      <c r="M1207" s="8" t="n">
        <f aca="false">K1207-L1207</f>
        <v>226.2</v>
      </c>
      <c r="N1207" s="2" t="s">
        <v>28</v>
      </c>
      <c r="O1207" s="2" t="s">
        <v>43</v>
      </c>
    </row>
    <row r="1208" customFormat="false" ht="15" hidden="false" customHeight="false" outlineLevel="0" collapsed="false">
      <c r="A1208" s="2" t="s">
        <v>1262</v>
      </c>
      <c r="B1208" s="3" t="n">
        <v>46154</v>
      </c>
      <c r="C1208" s="2" t="s">
        <v>47</v>
      </c>
      <c r="D1208" s="2" t="s">
        <v>71</v>
      </c>
      <c r="E1208" s="2" t="s">
        <v>61</v>
      </c>
      <c r="F1208" s="4" t="str">
        <f aca="false">INDEX(Products!$B$2:$B$9,MATCH(E1208,Products!$A$2:$A$9,0))</f>
        <v>Install Service</v>
      </c>
      <c r="G1208" s="4" t="str">
        <f aca="false">INDEX(Products!$C$2:$C$9,MATCH(E1208,Products!$A$2:$A$9,0))</f>
        <v>Services</v>
      </c>
      <c r="H1208" s="5" t="n">
        <v>1</v>
      </c>
      <c r="I1208" s="6" t="n">
        <f aca="false">INDEX(Products!$D$2:$D$9,MATCH(E1208,Products!$A$2:$A$9,0))</f>
        <v>450</v>
      </c>
      <c r="J1208" s="7" t="n">
        <v>0</v>
      </c>
      <c r="K1208" s="8" t="n">
        <f aca="false">H1208*I1208*(1-J1208)</f>
        <v>450</v>
      </c>
      <c r="L1208" s="6" t="n">
        <f aca="false">H1208*INDEX(Products!$E$2:$E$9,MATCH(E1208,Products!$A$2:$A$9,0))</f>
        <v>310</v>
      </c>
      <c r="M1208" s="8" t="n">
        <f aca="false">K1208-L1208</f>
        <v>140</v>
      </c>
      <c r="N1208" s="2" t="s">
        <v>38</v>
      </c>
      <c r="O1208" s="2" t="s">
        <v>50</v>
      </c>
    </row>
    <row r="1209" customFormat="false" ht="15" hidden="false" customHeight="false" outlineLevel="0" collapsed="false">
      <c r="A1209" s="2" t="s">
        <v>1263</v>
      </c>
      <c r="B1209" s="3" t="n">
        <v>46155</v>
      </c>
      <c r="C1209" s="2" t="s">
        <v>16</v>
      </c>
      <c r="D1209" s="2" t="s">
        <v>17</v>
      </c>
      <c r="E1209" s="2" t="s">
        <v>18</v>
      </c>
      <c r="F1209" s="4" t="str">
        <f aca="false">INDEX(Products!$B$2:$B$9,MATCH(E1209,Products!$A$2:$A$9,0))</f>
        <v>Sensor Hub Pro</v>
      </c>
      <c r="G1209" s="4" t="str">
        <f aca="false">INDEX(Products!$C$2:$C$9,MATCH(E1209,Products!$A$2:$A$9,0))</f>
        <v>Hardware</v>
      </c>
      <c r="H1209" s="5" t="n">
        <v>8</v>
      </c>
      <c r="I1209" s="6" t="n">
        <f aca="false">INDEX(Products!$D$2:$D$9,MATCH(E1209,Products!$A$2:$A$9,0))</f>
        <v>349</v>
      </c>
      <c r="J1209" s="7" t="n">
        <v>0.1</v>
      </c>
      <c r="K1209" s="8" t="n">
        <f aca="false">H1209*I1209*(1-J1209)</f>
        <v>2512.8</v>
      </c>
      <c r="L1209" s="6" t="n">
        <f aca="false">H1209*INDEX(Products!$E$2:$E$9,MATCH(E1209,Products!$A$2:$A$9,0))</f>
        <v>1608</v>
      </c>
      <c r="M1209" s="8" t="n">
        <f aca="false">K1209-L1209</f>
        <v>904.8</v>
      </c>
      <c r="N1209" s="2" t="s">
        <v>38</v>
      </c>
      <c r="O1209" s="2" t="s">
        <v>36</v>
      </c>
    </row>
    <row r="1210" customFormat="false" ht="15" hidden="false" customHeight="false" outlineLevel="0" collapsed="false">
      <c r="A1210" s="2" t="s">
        <v>1264</v>
      </c>
      <c r="B1210" s="3" t="n">
        <v>46155</v>
      </c>
      <c r="C1210" s="2" t="s">
        <v>59</v>
      </c>
      <c r="D1210" s="2" t="s">
        <v>91</v>
      </c>
      <c r="E1210" s="2" t="s">
        <v>32</v>
      </c>
      <c r="F1210" s="4" t="str">
        <f aca="false">INDEX(Products!$B$2:$B$9,MATCH(E1210,Products!$A$2:$A$9,0))</f>
        <v>Analytics Plus</v>
      </c>
      <c r="G1210" s="4" t="str">
        <f aca="false">INDEX(Products!$C$2:$C$9,MATCH(E1210,Products!$A$2:$A$9,0))</f>
        <v>Software</v>
      </c>
      <c r="H1210" s="5" t="n">
        <v>2</v>
      </c>
      <c r="I1210" s="6" t="n">
        <f aca="false">INDEX(Products!$D$2:$D$9,MATCH(E1210,Products!$A$2:$A$9,0))</f>
        <v>290</v>
      </c>
      <c r="J1210" s="7" t="n">
        <v>0.1</v>
      </c>
      <c r="K1210" s="8" t="n">
        <f aca="false">H1210*I1210*(1-J1210)</f>
        <v>522</v>
      </c>
      <c r="L1210" s="6" t="n">
        <f aca="false">H1210*INDEX(Products!$E$2:$E$9,MATCH(E1210,Products!$A$2:$A$9,0))</f>
        <v>82</v>
      </c>
      <c r="M1210" s="8" t="n">
        <f aca="false">K1210-L1210</f>
        <v>440</v>
      </c>
      <c r="N1210" s="2" t="s">
        <v>28</v>
      </c>
      <c r="O1210" s="2" t="s">
        <v>62</v>
      </c>
    </row>
    <row r="1211" customFormat="false" ht="15" hidden="false" customHeight="false" outlineLevel="0" collapsed="false">
      <c r="A1211" s="2" t="s">
        <v>1265</v>
      </c>
      <c r="B1211" s="3" t="n">
        <v>46155</v>
      </c>
      <c r="C1211" s="2" t="s">
        <v>59</v>
      </c>
      <c r="D1211" s="2" t="s">
        <v>91</v>
      </c>
      <c r="E1211" s="2" t="s">
        <v>61</v>
      </c>
      <c r="F1211" s="4" t="str">
        <f aca="false">INDEX(Products!$B$2:$B$9,MATCH(E1211,Products!$A$2:$A$9,0))</f>
        <v>Install Service</v>
      </c>
      <c r="G1211" s="4" t="str">
        <f aca="false">INDEX(Products!$C$2:$C$9,MATCH(E1211,Products!$A$2:$A$9,0))</f>
        <v>Services</v>
      </c>
      <c r="H1211" s="5" t="n">
        <v>3</v>
      </c>
      <c r="I1211" s="6" t="n">
        <f aca="false">INDEX(Products!$D$2:$D$9,MATCH(E1211,Products!$A$2:$A$9,0))</f>
        <v>450</v>
      </c>
      <c r="J1211" s="7" t="n">
        <v>0</v>
      </c>
      <c r="K1211" s="8" t="n">
        <f aca="false">H1211*I1211*(1-J1211)</f>
        <v>1350</v>
      </c>
      <c r="L1211" s="6" t="n">
        <f aca="false">H1211*INDEX(Products!$E$2:$E$9,MATCH(E1211,Products!$A$2:$A$9,0))</f>
        <v>930</v>
      </c>
      <c r="M1211" s="8" t="n">
        <f aca="false">K1211-L1211</f>
        <v>420</v>
      </c>
      <c r="N1211" s="2" t="s">
        <v>28</v>
      </c>
      <c r="O1211" s="2" t="s">
        <v>62</v>
      </c>
    </row>
    <row r="1212" customFormat="false" ht="15" hidden="false" customHeight="false" outlineLevel="0" collapsed="false">
      <c r="A1212" s="2" t="s">
        <v>1266</v>
      </c>
      <c r="B1212" s="3" t="n">
        <v>46156</v>
      </c>
      <c r="C1212" s="2" t="s">
        <v>59</v>
      </c>
      <c r="D1212" s="2" t="s">
        <v>91</v>
      </c>
      <c r="E1212" s="2" t="s">
        <v>26</v>
      </c>
      <c r="F1212" s="4" t="str">
        <f aca="false">INDEX(Products!$B$2:$B$9,MATCH(E1212,Products!$A$2:$A$9,0))</f>
        <v>Analytics Basic</v>
      </c>
      <c r="G1212" s="4" t="str">
        <f aca="false">INDEX(Products!$C$2:$C$9,MATCH(E1212,Products!$A$2:$A$9,0))</f>
        <v>Software</v>
      </c>
      <c r="H1212" s="5" t="n">
        <v>1</v>
      </c>
      <c r="I1212" s="6" t="n">
        <f aca="false">INDEX(Products!$D$2:$D$9,MATCH(E1212,Products!$A$2:$A$9,0))</f>
        <v>120</v>
      </c>
      <c r="J1212" s="7" t="n">
        <v>0</v>
      </c>
      <c r="K1212" s="8" t="n">
        <f aca="false">H1212*I1212*(1-J1212)</f>
        <v>120</v>
      </c>
      <c r="L1212" s="6" t="n">
        <f aca="false">H1212*INDEX(Products!$E$2:$E$9,MATCH(E1212,Products!$A$2:$A$9,0))</f>
        <v>18</v>
      </c>
      <c r="M1212" s="8" t="n">
        <f aca="false">K1212-L1212</f>
        <v>102</v>
      </c>
      <c r="N1212" s="2" t="s">
        <v>28</v>
      </c>
      <c r="O1212" s="2" t="s">
        <v>62</v>
      </c>
    </row>
    <row r="1213" customFormat="false" ht="15" hidden="false" customHeight="false" outlineLevel="0" collapsed="false">
      <c r="A1213" s="2" t="s">
        <v>1267</v>
      </c>
      <c r="B1213" s="3" t="n">
        <v>46156</v>
      </c>
      <c r="C1213" s="2" t="s">
        <v>16</v>
      </c>
      <c r="D1213" s="2" t="s">
        <v>17</v>
      </c>
      <c r="E1213" s="2" t="s">
        <v>57</v>
      </c>
      <c r="F1213" s="4" t="str">
        <f aca="false">INDEX(Products!$B$2:$B$9,MATCH(E1213,Products!$A$2:$A$9,0))</f>
        <v>Edge Gateway</v>
      </c>
      <c r="G1213" s="4" t="str">
        <f aca="false">INDEX(Products!$C$2:$C$9,MATCH(E1213,Products!$A$2:$A$9,0))</f>
        <v>Hardware</v>
      </c>
      <c r="H1213" s="5" t="n">
        <v>12</v>
      </c>
      <c r="I1213" s="6" t="n">
        <f aca="false">INDEX(Products!$D$2:$D$9,MATCH(E1213,Products!$A$2:$A$9,0))</f>
        <v>899</v>
      </c>
      <c r="J1213" s="7" t="n">
        <v>0.1</v>
      </c>
      <c r="K1213" s="8" t="n">
        <f aca="false">H1213*I1213*(1-J1213)</f>
        <v>9709.2</v>
      </c>
      <c r="L1213" s="6" t="n">
        <f aca="false">H1213*INDEX(Products!$E$2:$E$9,MATCH(E1213,Products!$A$2:$A$9,0))</f>
        <v>7344</v>
      </c>
      <c r="M1213" s="8" t="n">
        <f aca="false">K1213-L1213</f>
        <v>2365.2</v>
      </c>
      <c r="N1213" s="2" t="s">
        <v>38</v>
      </c>
      <c r="O1213" s="2" t="s">
        <v>20</v>
      </c>
    </row>
    <row r="1214" customFormat="false" ht="15" hidden="false" customHeight="false" outlineLevel="0" collapsed="false">
      <c r="A1214" s="2" t="s">
        <v>1268</v>
      </c>
      <c r="B1214" s="3" t="n">
        <v>46157</v>
      </c>
      <c r="C1214" s="2" t="s">
        <v>16</v>
      </c>
      <c r="D1214" s="2" t="s">
        <v>35</v>
      </c>
      <c r="E1214" s="2" t="s">
        <v>18</v>
      </c>
      <c r="F1214" s="4" t="str">
        <f aca="false">INDEX(Products!$B$2:$B$9,MATCH(E1214,Products!$A$2:$A$9,0))</f>
        <v>Sensor Hub Pro</v>
      </c>
      <c r="G1214" s="4" t="str">
        <f aca="false">INDEX(Products!$C$2:$C$9,MATCH(E1214,Products!$A$2:$A$9,0))</f>
        <v>Hardware</v>
      </c>
      <c r="H1214" s="5" t="n">
        <v>5</v>
      </c>
      <c r="I1214" s="6" t="n">
        <f aca="false">INDEX(Products!$D$2:$D$9,MATCH(E1214,Products!$A$2:$A$9,0))</f>
        <v>349</v>
      </c>
      <c r="J1214" s="7" t="n">
        <v>0.1</v>
      </c>
      <c r="K1214" s="8" t="n">
        <f aca="false">H1214*I1214*(1-J1214)</f>
        <v>1570.5</v>
      </c>
      <c r="L1214" s="6" t="n">
        <f aca="false">H1214*INDEX(Products!$E$2:$E$9,MATCH(E1214,Products!$A$2:$A$9,0))</f>
        <v>1005</v>
      </c>
      <c r="M1214" s="8" t="n">
        <f aca="false">K1214-L1214</f>
        <v>565.5</v>
      </c>
      <c r="N1214" s="2" t="s">
        <v>19</v>
      </c>
      <c r="O1214" s="2" t="s">
        <v>36</v>
      </c>
    </row>
    <row r="1215" customFormat="false" ht="15" hidden="false" customHeight="false" outlineLevel="0" collapsed="false">
      <c r="A1215" s="2" t="s">
        <v>1269</v>
      </c>
      <c r="B1215" s="3" t="n">
        <v>46157</v>
      </c>
      <c r="C1215" s="2" t="s">
        <v>41</v>
      </c>
      <c r="D1215" s="2" t="s">
        <v>66</v>
      </c>
      <c r="E1215" s="2" t="s">
        <v>23</v>
      </c>
      <c r="F1215" s="4" t="str">
        <f aca="false">INDEX(Products!$B$2:$B$9,MATCH(E1215,Products!$A$2:$A$9,0))</f>
        <v>Sensor Hub S</v>
      </c>
      <c r="G1215" s="4" t="str">
        <f aca="false">INDEX(Products!$C$2:$C$9,MATCH(E1215,Products!$A$2:$A$9,0))</f>
        <v>Hardware</v>
      </c>
      <c r="H1215" s="5" t="n">
        <v>5</v>
      </c>
      <c r="I1215" s="6" t="n">
        <f aca="false">INDEX(Products!$D$2:$D$9,MATCH(E1215,Products!$A$2:$A$9,0))</f>
        <v>189</v>
      </c>
      <c r="J1215" s="7" t="n">
        <v>0</v>
      </c>
      <c r="K1215" s="8" t="n">
        <f aca="false">H1215*I1215*(1-J1215)</f>
        <v>945</v>
      </c>
      <c r="L1215" s="6" t="n">
        <f aca="false">H1215*INDEX(Products!$E$2:$E$9,MATCH(E1215,Products!$A$2:$A$9,0))</f>
        <v>490</v>
      </c>
      <c r="M1215" s="8" t="n">
        <f aca="false">K1215-L1215</f>
        <v>455</v>
      </c>
      <c r="N1215" s="2" t="s">
        <v>38</v>
      </c>
      <c r="O1215" s="2" t="s">
        <v>43</v>
      </c>
    </row>
    <row r="1216" customFormat="false" ht="15" hidden="false" customHeight="false" outlineLevel="0" collapsed="false">
      <c r="A1216" s="2" t="s">
        <v>1270</v>
      </c>
      <c r="B1216" s="3" t="n">
        <v>46158</v>
      </c>
      <c r="C1216" s="2" t="s">
        <v>47</v>
      </c>
      <c r="D1216" s="2" t="s">
        <v>157</v>
      </c>
      <c r="E1216" s="2" t="s">
        <v>26</v>
      </c>
      <c r="F1216" s="4" t="str">
        <f aca="false">INDEX(Products!$B$2:$B$9,MATCH(E1216,Products!$A$2:$A$9,0))</f>
        <v>Analytics Basic</v>
      </c>
      <c r="G1216" s="4" t="str">
        <f aca="false">INDEX(Products!$C$2:$C$9,MATCH(E1216,Products!$A$2:$A$9,0))</f>
        <v>Software</v>
      </c>
      <c r="H1216" s="5" t="n">
        <v>2</v>
      </c>
      <c r="I1216" s="6" t="n">
        <f aca="false">INDEX(Products!$D$2:$D$9,MATCH(E1216,Products!$A$2:$A$9,0))</f>
        <v>120</v>
      </c>
      <c r="J1216" s="7" t="n">
        <v>0.15</v>
      </c>
      <c r="K1216" s="8" t="n">
        <f aca="false">H1216*I1216*(1-J1216)</f>
        <v>204</v>
      </c>
      <c r="L1216" s="6" t="n">
        <f aca="false">H1216*INDEX(Products!$E$2:$E$9,MATCH(E1216,Products!$A$2:$A$9,0))</f>
        <v>36</v>
      </c>
      <c r="M1216" s="8" t="n">
        <f aca="false">K1216-L1216</f>
        <v>168</v>
      </c>
      <c r="N1216" s="2" t="s">
        <v>28</v>
      </c>
      <c r="O1216" s="2" t="s">
        <v>72</v>
      </c>
    </row>
    <row r="1217" customFormat="false" ht="15" hidden="false" customHeight="false" outlineLevel="0" collapsed="false">
      <c r="A1217" s="2" t="s">
        <v>1271</v>
      </c>
      <c r="B1217" s="3" t="n">
        <v>46160</v>
      </c>
      <c r="C1217" s="2" t="s">
        <v>16</v>
      </c>
      <c r="D1217" s="2" t="s">
        <v>35</v>
      </c>
      <c r="E1217" s="2" t="s">
        <v>32</v>
      </c>
      <c r="F1217" s="4" t="str">
        <f aca="false">INDEX(Products!$B$2:$B$9,MATCH(E1217,Products!$A$2:$A$9,0))</f>
        <v>Analytics Plus</v>
      </c>
      <c r="G1217" s="4" t="str">
        <f aca="false">INDEX(Products!$C$2:$C$9,MATCH(E1217,Products!$A$2:$A$9,0))</f>
        <v>Software</v>
      </c>
      <c r="H1217" s="5" t="n">
        <v>5</v>
      </c>
      <c r="I1217" s="6" t="n">
        <f aca="false">INDEX(Products!$D$2:$D$9,MATCH(E1217,Products!$A$2:$A$9,0))</f>
        <v>290</v>
      </c>
      <c r="J1217" s="7" t="n">
        <v>0</v>
      </c>
      <c r="K1217" s="8" t="n">
        <f aca="false">H1217*I1217*(1-J1217)</f>
        <v>1450</v>
      </c>
      <c r="L1217" s="6" t="n">
        <f aca="false">H1217*INDEX(Products!$E$2:$E$9,MATCH(E1217,Products!$A$2:$A$9,0))</f>
        <v>205</v>
      </c>
      <c r="M1217" s="8" t="n">
        <f aca="false">K1217-L1217</f>
        <v>1245</v>
      </c>
      <c r="N1217" s="2" t="s">
        <v>28</v>
      </c>
      <c r="O1217" s="2" t="s">
        <v>36</v>
      </c>
    </row>
    <row r="1218" customFormat="false" ht="15" hidden="false" customHeight="false" outlineLevel="0" collapsed="false">
      <c r="A1218" s="2" t="s">
        <v>1272</v>
      </c>
      <c r="B1218" s="3" t="n">
        <v>46160</v>
      </c>
      <c r="C1218" s="2" t="s">
        <v>16</v>
      </c>
      <c r="D1218" s="2" t="s">
        <v>22</v>
      </c>
      <c r="E1218" s="2" t="s">
        <v>68</v>
      </c>
      <c r="F1218" s="4" t="str">
        <f aca="false">INDEX(Products!$B$2:$B$9,MATCH(E1218,Products!$A$2:$A$9,0))</f>
        <v>Premium Support</v>
      </c>
      <c r="G1218" s="4" t="str">
        <f aca="false">INDEX(Products!$C$2:$C$9,MATCH(E1218,Products!$A$2:$A$9,0))</f>
        <v>Services</v>
      </c>
      <c r="H1218" s="5" t="n">
        <v>3</v>
      </c>
      <c r="I1218" s="6" t="n">
        <f aca="false">INDEX(Products!$D$2:$D$9,MATCH(E1218,Products!$A$2:$A$9,0))</f>
        <v>600</v>
      </c>
      <c r="J1218" s="7" t="n">
        <v>0.15</v>
      </c>
      <c r="K1218" s="8" t="n">
        <f aca="false">H1218*I1218*(1-J1218)</f>
        <v>1530</v>
      </c>
      <c r="L1218" s="6" t="n">
        <f aca="false">H1218*INDEX(Products!$E$2:$E$9,MATCH(E1218,Products!$A$2:$A$9,0))</f>
        <v>1185</v>
      </c>
      <c r="M1218" s="8" t="n">
        <f aca="false">K1218-L1218</f>
        <v>345</v>
      </c>
      <c r="N1218" s="2" t="s">
        <v>28</v>
      </c>
      <c r="O1218" s="2" t="s">
        <v>20</v>
      </c>
    </row>
    <row r="1219" customFormat="false" ht="15" hidden="false" customHeight="false" outlineLevel="0" collapsed="false">
      <c r="A1219" s="2" t="s">
        <v>1273</v>
      </c>
      <c r="B1219" s="3" t="n">
        <v>46161</v>
      </c>
      <c r="C1219" s="2" t="s">
        <v>16</v>
      </c>
      <c r="D1219" s="2" t="s">
        <v>22</v>
      </c>
      <c r="E1219" s="2" t="s">
        <v>49</v>
      </c>
      <c r="F1219" s="4" t="str">
        <f aca="false">INDEX(Products!$B$2:$B$9,MATCH(E1219,Products!$A$2:$A$9,0))</f>
        <v>Mounting Kit</v>
      </c>
      <c r="G1219" s="4" t="str">
        <f aca="false">INDEX(Products!$C$2:$C$9,MATCH(E1219,Products!$A$2:$A$9,0))</f>
        <v>Accessories</v>
      </c>
      <c r="H1219" s="5" t="n">
        <v>1</v>
      </c>
      <c r="I1219" s="6" t="n">
        <f aca="false">INDEX(Products!$D$2:$D$9,MATCH(E1219,Products!$A$2:$A$9,0))</f>
        <v>39</v>
      </c>
      <c r="J1219" s="7" t="n">
        <v>0</v>
      </c>
      <c r="K1219" s="8" t="n">
        <f aca="false">H1219*I1219*(1-J1219)</f>
        <v>39</v>
      </c>
      <c r="L1219" s="6" t="n">
        <f aca="false">H1219*INDEX(Products!$E$2:$E$9,MATCH(E1219,Products!$A$2:$A$9,0))</f>
        <v>31.5</v>
      </c>
      <c r="M1219" s="8" t="n">
        <f aca="false">K1219-L1219</f>
        <v>7.5</v>
      </c>
      <c r="N1219" s="2" t="s">
        <v>38</v>
      </c>
      <c r="O1219" s="2" t="s">
        <v>36</v>
      </c>
    </row>
    <row r="1220" customFormat="false" ht="15" hidden="false" customHeight="false" outlineLevel="0" collapsed="false">
      <c r="A1220" s="2" t="s">
        <v>1274</v>
      </c>
      <c r="B1220" s="3" t="n">
        <v>46161</v>
      </c>
      <c r="C1220" s="2" t="s">
        <v>30</v>
      </c>
      <c r="D1220" s="2" t="s">
        <v>31</v>
      </c>
      <c r="E1220" s="2" t="s">
        <v>49</v>
      </c>
      <c r="F1220" s="4" t="str">
        <f aca="false">INDEX(Products!$B$2:$B$9,MATCH(E1220,Products!$A$2:$A$9,0))</f>
        <v>Mounting Kit</v>
      </c>
      <c r="G1220" s="4" t="str">
        <f aca="false">INDEX(Products!$C$2:$C$9,MATCH(E1220,Products!$A$2:$A$9,0))</f>
        <v>Accessories</v>
      </c>
      <c r="H1220" s="5" t="n">
        <v>2</v>
      </c>
      <c r="I1220" s="6" t="n">
        <f aca="false">INDEX(Products!$D$2:$D$9,MATCH(E1220,Products!$A$2:$A$9,0))</f>
        <v>39</v>
      </c>
      <c r="J1220" s="7" t="n">
        <v>0.1</v>
      </c>
      <c r="K1220" s="8" t="n">
        <f aca="false">H1220*I1220*(1-J1220)</f>
        <v>70.2</v>
      </c>
      <c r="L1220" s="6" t="n">
        <f aca="false">H1220*INDEX(Products!$E$2:$E$9,MATCH(E1220,Products!$A$2:$A$9,0))</f>
        <v>63</v>
      </c>
      <c r="M1220" s="8" t="n">
        <f aca="false">K1220-L1220</f>
        <v>7.2</v>
      </c>
      <c r="N1220" s="2" t="s">
        <v>19</v>
      </c>
      <c r="O1220" s="2" t="s">
        <v>33</v>
      </c>
    </row>
    <row r="1221" customFormat="false" ht="15" hidden="false" customHeight="false" outlineLevel="0" collapsed="false">
      <c r="A1221" s="2" t="s">
        <v>1275</v>
      </c>
      <c r="B1221" s="3" t="n">
        <v>46161</v>
      </c>
      <c r="C1221" s="2" t="s">
        <v>41</v>
      </c>
      <c r="D1221" s="2" t="s">
        <v>42</v>
      </c>
      <c r="E1221" s="2" t="s">
        <v>18</v>
      </c>
      <c r="F1221" s="4" t="str">
        <f aca="false">INDEX(Products!$B$2:$B$9,MATCH(E1221,Products!$A$2:$A$9,0))</f>
        <v>Sensor Hub Pro</v>
      </c>
      <c r="G1221" s="4" t="str">
        <f aca="false">INDEX(Products!$C$2:$C$9,MATCH(E1221,Products!$A$2:$A$9,0))</f>
        <v>Hardware</v>
      </c>
      <c r="H1221" s="5" t="n">
        <v>20</v>
      </c>
      <c r="I1221" s="6" t="n">
        <f aca="false">INDEX(Products!$D$2:$D$9,MATCH(E1221,Products!$A$2:$A$9,0))</f>
        <v>349</v>
      </c>
      <c r="J1221" s="7" t="n">
        <v>0</v>
      </c>
      <c r="K1221" s="8" t="n">
        <f aca="false">H1221*I1221*(1-J1221)</f>
        <v>6980</v>
      </c>
      <c r="L1221" s="6" t="n">
        <f aca="false">H1221*INDEX(Products!$E$2:$E$9,MATCH(E1221,Products!$A$2:$A$9,0))</f>
        <v>4020</v>
      </c>
      <c r="M1221" s="8" t="n">
        <f aca="false">K1221-L1221</f>
        <v>2960</v>
      </c>
      <c r="N1221" s="2" t="s">
        <v>38</v>
      </c>
      <c r="O1221" s="2" t="s">
        <v>52</v>
      </c>
    </row>
    <row r="1222" customFormat="false" ht="15" hidden="false" customHeight="false" outlineLevel="0" collapsed="false">
      <c r="A1222" s="2" t="s">
        <v>1276</v>
      </c>
      <c r="B1222" s="3" t="n">
        <v>46161</v>
      </c>
      <c r="C1222" s="2" t="s">
        <v>47</v>
      </c>
      <c r="D1222" s="2" t="s">
        <v>55</v>
      </c>
      <c r="E1222" s="2" t="s">
        <v>32</v>
      </c>
      <c r="F1222" s="4" t="str">
        <f aca="false">INDEX(Products!$B$2:$B$9,MATCH(E1222,Products!$A$2:$A$9,0))</f>
        <v>Analytics Plus</v>
      </c>
      <c r="G1222" s="4" t="str">
        <f aca="false">INDEX(Products!$C$2:$C$9,MATCH(E1222,Products!$A$2:$A$9,0))</f>
        <v>Software</v>
      </c>
      <c r="H1222" s="5" t="n">
        <v>1</v>
      </c>
      <c r="I1222" s="6" t="n">
        <f aca="false">INDEX(Products!$D$2:$D$9,MATCH(E1222,Products!$A$2:$A$9,0))</f>
        <v>290</v>
      </c>
      <c r="J1222" s="7" t="n">
        <v>0.15</v>
      </c>
      <c r="K1222" s="8" t="n">
        <f aca="false">H1222*I1222*(1-J1222)</f>
        <v>246.5</v>
      </c>
      <c r="L1222" s="6" t="n">
        <f aca="false">H1222*INDEX(Products!$E$2:$E$9,MATCH(E1222,Products!$A$2:$A$9,0))</f>
        <v>41</v>
      </c>
      <c r="M1222" s="8" t="n">
        <f aca="false">K1222-L1222</f>
        <v>205.5</v>
      </c>
      <c r="N1222" s="2" t="s">
        <v>19</v>
      </c>
      <c r="O1222" s="2" t="s">
        <v>50</v>
      </c>
    </row>
    <row r="1223" customFormat="false" ht="15" hidden="false" customHeight="false" outlineLevel="0" collapsed="false">
      <c r="A1223" s="2" t="s">
        <v>1277</v>
      </c>
      <c r="B1223" s="3" t="n">
        <v>46162</v>
      </c>
      <c r="C1223" s="2" t="s">
        <v>41</v>
      </c>
      <c r="D1223" s="2" t="s">
        <v>42</v>
      </c>
      <c r="E1223" s="2" t="s">
        <v>26</v>
      </c>
      <c r="F1223" s="4" t="str">
        <f aca="false">INDEX(Products!$B$2:$B$9,MATCH(E1223,Products!$A$2:$A$9,0))</f>
        <v>Analytics Basic</v>
      </c>
      <c r="G1223" s="4" t="str">
        <f aca="false">INDEX(Products!$C$2:$C$9,MATCH(E1223,Products!$A$2:$A$9,0))</f>
        <v>Software</v>
      </c>
      <c r="H1223" s="5" t="n">
        <v>1</v>
      </c>
      <c r="I1223" s="6" t="n">
        <f aca="false">INDEX(Products!$D$2:$D$9,MATCH(E1223,Products!$A$2:$A$9,0))</f>
        <v>120</v>
      </c>
      <c r="J1223" s="7" t="n">
        <v>0.15</v>
      </c>
      <c r="K1223" s="8" t="n">
        <f aca="false">H1223*I1223*(1-J1223)</f>
        <v>102</v>
      </c>
      <c r="L1223" s="6" t="n">
        <f aca="false">H1223*INDEX(Products!$E$2:$E$9,MATCH(E1223,Products!$A$2:$A$9,0))</f>
        <v>18</v>
      </c>
      <c r="M1223" s="8" t="n">
        <f aca="false">K1223-L1223</f>
        <v>84</v>
      </c>
      <c r="N1223" s="2" t="s">
        <v>28</v>
      </c>
      <c r="O1223" s="2" t="s">
        <v>52</v>
      </c>
    </row>
    <row r="1224" customFormat="false" ht="15" hidden="false" customHeight="false" outlineLevel="0" collapsed="false">
      <c r="A1224" s="2" t="s">
        <v>1278</v>
      </c>
      <c r="B1224" s="3" t="n">
        <v>46162</v>
      </c>
      <c r="C1224" s="2" t="s">
        <v>47</v>
      </c>
      <c r="D1224" s="2" t="s">
        <v>157</v>
      </c>
      <c r="E1224" s="2" t="s">
        <v>23</v>
      </c>
      <c r="F1224" s="4" t="str">
        <f aca="false">INDEX(Products!$B$2:$B$9,MATCH(E1224,Products!$A$2:$A$9,0))</f>
        <v>Sensor Hub S</v>
      </c>
      <c r="G1224" s="4" t="str">
        <f aca="false">INDEX(Products!$C$2:$C$9,MATCH(E1224,Products!$A$2:$A$9,0))</f>
        <v>Hardware</v>
      </c>
      <c r="H1224" s="5" t="n">
        <v>2</v>
      </c>
      <c r="I1224" s="6" t="n">
        <f aca="false">INDEX(Products!$D$2:$D$9,MATCH(E1224,Products!$A$2:$A$9,0))</f>
        <v>189</v>
      </c>
      <c r="J1224" s="7" t="n">
        <v>0.05</v>
      </c>
      <c r="K1224" s="8" t="n">
        <f aca="false">H1224*I1224*(1-J1224)</f>
        <v>359.1</v>
      </c>
      <c r="L1224" s="6" t="n">
        <f aca="false">H1224*INDEX(Products!$E$2:$E$9,MATCH(E1224,Products!$A$2:$A$9,0))</f>
        <v>196</v>
      </c>
      <c r="M1224" s="8" t="n">
        <f aca="false">K1224-L1224</f>
        <v>163.1</v>
      </c>
      <c r="N1224" s="2" t="s">
        <v>28</v>
      </c>
      <c r="O1224" s="2" t="s">
        <v>72</v>
      </c>
    </row>
    <row r="1225" customFormat="false" ht="15" hidden="false" customHeight="false" outlineLevel="0" collapsed="false">
      <c r="A1225" s="2" t="s">
        <v>1279</v>
      </c>
      <c r="B1225" s="3" t="n">
        <v>46162</v>
      </c>
      <c r="C1225" s="2" t="s">
        <v>16</v>
      </c>
      <c r="D1225" s="2" t="s">
        <v>35</v>
      </c>
      <c r="E1225" s="2" t="s">
        <v>68</v>
      </c>
      <c r="F1225" s="4" t="str">
        <f aca="false">INDEX(Products!$B$2:$B$9,MATCH(E1225,Products!$A$2:$A$9,0))</f>
        <v>Premium Support</v>
      </c>
      <c r="G1225" s="4" t="str">
        <f aca="false">INDEX(Products!$C$2:$C$9,MATCH(E1225,Products!$A$2:$A$9,0))</f>
        <v>Services</v>
      </c>
      <c r="H1225" s="5" t="n">
        <v>1</v>
      </c>
      <c r="I1225" s="6" t="n">
        <f aca="false">INDEX(Products!$D$2:$D$9,MATCH(E1225,Products!$A$2:$A$9,0))</f>
        <v>600</v>
      </c>
      <c r="J1225" s="7" t="n">
        <v>0.1</v>
      </c>
      <c r="K1225" s="8" t="n">
        <f aca="false">H1225*I1225*(1-J1225)</f>
        <v>540</v>
      </c>
      <c r="L1225" s="6" t="n">
        <f aca="false">H1225*INDEX(Products!$E$2:$E$9,MATCH(E1225,Products!$A$2:$A$9,0))</f>
        <v>395</v>
      </c>
      <c r="M1225" s="8" t="n">
        <f aca="false">K1225-L1225</f>
        <v>145</v>
      </c>
      <c r="N1225" s="2" t="s">
        <v>19</v>
      </c>
      <c r="O1225" s="2" t="s">
        <v>36</v>
      </c>
    </row>
    <row r="1226" customFormat="false" ht="15" hidden="false" customHeight="false" outlineLevel="0" collapsed="false">
      <c r="A1226" s="2" t="s">
        <v>1280</v>
      </c>
      <c r="B1226" s="3" t="n">
        <v>46163</v>
      </c>
      <c r="C1226" s="2" t="s">
        <v>41</v>
      </c>
      <c r="D1226" s="2" t="s">
        <v>42</v>
      </c>
      <c r="E1226" s="2" t="s">
        <v>49</v>
      </c>
      <c r="F1226" s="4" t="str">
        <f aca="false">INDEX(Products!$B$2:$B$9,MATCH(E1226,Products!$A$2:$A$9,0))</f>
        <v>Mounting Kit</v>
      </c>
      <c r="G1226" s="4" t="str">
        <f aca="false">INDEX(Products!$C$2:$C$9,MATCH(E1226,Products!$A$2:$A$9,0))</f>
        <v>Accessories</v>
      </c>
      <c r="H1226" s="5" t="n">
        <v>2</v>
      </c>
      <c r="I1226" s="6" t="n">
        <f aca="false">INDEX(Products!$D$2:$D$9,MATCH(E1226,Products!$A$2:$A$9,0))</f>
        <v>39</v>
      </c>
      <c r="J1226" s="7" t="n">
        <v>0.05</v>
      </c>
      <c r="K1226" s="8" t="n">
        <f aca="false">H1226*I1226*(1-J1226)</f>
        <v>74.1</v>
      </c>
      <c r="L1226" s="6" t="n">
        <f aca="false">H1226*INDEX(Products!$E$2:$E$9,MATCH(E1226,Products!$A$2:$A$9,0))</f>
        <v>63</v>
      </c>
      <c r="M1226" s="8" t="n">
        <f aca="false">K1226-L1226</f>
        <v>11.1</v>
      </c>
      <c r="N1226" s="2" t="s">
        <v>28</v>
      </c>
      <c r="O1226" s="2" t="s">
        <v>43</v>
      </c>
    </row>
    <row r="1227" customFormat="false" ht="15" hidden="false" customHeight="false" outlineLevel="0" collapsed="false">
      <c r="A1227" s="2" t="s">
        <v>1281</v>
      </c>
      <c r="B1227" s="3" t="n">
        <v>46163</v>
      </c>
      <c r="C1227" s="2" t="s">
        <v>16</v>
      </c>
      <c r="D1227" s="2" t="s">
        <v>35</v>
      </c>
      <c r="E1227" s="2" t="s">
        <v>49</v>
      </c>
      <c r="F1227" s="4" t="str">
        <f aca="false">INDEX(Products!$B$2:$B$9,MATCH(E1227,Products!$A$2:$A$9,0))</f>
        <v>Mounting Kit</v>
      </c>
      <c r="G1227" s="4" t="str">
        <f aca="false">INDEX(Products!$C$2:$C$9,MATCH(E1227,Products!$A$2:$A$9,0))</f>
        <v>Accessories</v>
      </c>
      <c r="H1227" s="5" t="n">
        <v>2</v>
      </c>
      <c r="I1227" s="6" t="n">
        <f aca="false">INDEX(Products!$D$2:$D$9,MATCH(E1227,Products!$A$2:$A$9,0))</f>
        <v>39</v>
      </c>
      <c r="J1227" s="7" t="n">
        <v>0</v>
      </c>
      <c r="K1227" s="8" t="n">
        <f aca="false">H1227*I1227*(1-J1227)</f>
        <v>78</v>
      </c>
      <c r="L1227" s="6" t="n">
        <f aca="false">H1227*INDEX(Products!$E$2:$E$9,MATCH(E1227,Products!$A$2:$A$9,0))</f>
        <v>63</v>
      </c>
      <c r="M1227" s="8" t="n">
        <f aca="false">K1227-L1227</f>
        <v>15</v>
      </c>
      <c r="N1227" s="2" t="s">
        <v>38</v>
      </c>
      <c r="O1227" s="2" t="s">
        <v>20</v>
      </c>
    </row>
    <row r="1228" customFormat="false" ht="15" hidden="false" customHeight="false" outlineLevel="0" collapsed="false">
      <c r="A1228" s="2" t="s">
        <v>1282</v>
      </c>
      <c r="B1228" s="3" t="n">
        <v>46163</v>
      </c>
      <c r="C1228" s="2" t="s">
        <v>59</v>
      </c>
      <c r="D1228" s="2" t="s">
        <v>101</v>
      </c>
      <c r="E1228" s="2" t="s">
        <v>32</v>
      </c>
      <c r="F1228" s="4" t="str">
        <f aca="false">INDEX(Products!$B$2:$B$9,MATCH(E1228,Products!$A$2:$A$9,0))</f>
        <v>Analytics Plus</v>
      </c>
      <c r="G1228" s="4" t="str">
        <f aca="false">INDEX(Products!$C$2:$C$9,MATCH(E1228,Products!$A$2:$A$9,0))</f>
        <v>Software</v>
      </c>
      <c r="H1228" s="5" t="n">
        <v>2</v>
      </c>
      <c r="I1228" s="6" t="n">
        <f aca="false">INDEX(Products!$D$2:$D$9,MATCH(E1228,Products!$A$2:$A$9,0))</f>
        <v>290</v>
      </c>
      <c r="J1228" s="7" t="n">
        <v>0</v>
      </c>
      <c r="K1228" s="8" t="n">
        <f aca="false">H1228*I1228*(1-J1228)</f>
        <v>580</v>
      </c>
      <c r="L1228" s="6" t="n">
        <f aca="false">H1228*INDEX(Products!$E$2:$E$9,MATCH(E1228,Products!$A$2:$A$9,0))</f>
        <v>82</v>
      </c>
      <c r="M1228" s="8" t="n">
        <f aca="false">K1228-L1228</f>
        <v>498</v>
      </c>
      <c r="N1228" s="2" t="s">
        <v>28</v>
      </c>
      <c r="O1228" s="2" t="s">
        <v>62</v>
      </c>
    </row>
    <row r="1229" customFormat="false" ht="15" hidden="false" customHeight="false" outlineLevel="0" collapsed="false">
      <c r="A1229" s="2" t="s">
        <v>1283</v>
      </c>
      <c r="B1229" s="3" t="n">
        <v>46163</v>
      </c>
      <c r="C1229" s="2" t="s">
        <v>47</v>
      </c>
      <c r="D1229" s="2" t="s">
        <v>55</v>
      </c>
      <c r="E1229" s="2" t="s">
        <v>32</v>
      </c>
      <c r="F1229" s="4" t="str">
        <f aca="false">INDEX(Products!$B$2:$B$9,MATCH(E1229,Products!$A$2:$A$9,0))</f>
        <v>Analytics Plus</v>
      </c>
      <c r="G1229" s="4" t="str">
        <f aca="false">INDEX(Products!$C$2:$C$9,MATCH(E1229,Products!$A$2:$A$9,0))</f>
        <v>Software</v>
      </c>
      <c r="H1229" s="5" t="n">
        <v>1</v>
      </c>
      <c r="I1229" s="6" t="n">
        <f aca="false">INDEX(Products!$D$2:$D$9,MATCH(E1229,Products!$A$2:$A$9,0))</f>
        <v>290</v>
      </c>
      <c r="J1229" s="7" t="n">
        <v>0.15</v>
      </c>
      <c r="K1229" s="8" t="n">
        <f aca="false">H1229*I1229*(1-J1229)</f>
        <v>246.5</v>
      </c>
      <c r="L1229" s="6" t="n">
        <f aca="false">H1229*INDEX(Products!$E$2:$E$9,MATCH(E1229,Products!$A$2:$A$9,0))</f>
        <v>41</v>
      </c>
      <c r="M1229" s="8" t="n">
        <f aca="false">K1229-L1229</f>
        <v>205.5</v>
      </c>
      <c r="N1229" s="2" t="s">
        <v>19</v>
      </c>
      <c r="O1229" s="2" t="s">
        <v>50</v>
      </c>
    </row>
    <row r="1230" customFormat="false" ht="15" hidden="false" customHeight="false" outlineLevel="0" collapsed="false">
      <c r="A1230" s="2" t="s">
        <v>1284</v>
      </c>
      <c r="B1230" s="3" t="n">
        <v>46163</v>
      </c>
      <c r="C1230" s="2" t="s">
        <v>30</v>
      </c>
      <c r="D1230" s="2" t="s">
        <v>77</v>
      </c>
      <c r="E1230" s="2" t="s">
        <v>32</v>
      </c>
      <c r="F1230" s="4" t="str">
        <f aca="false">INDEX(Products!$B$2:$B$9,MATCH(E1230,Products!$A$2:$A$9,0))</f>
        <v>Analytics Plus</v>
      </c>
      <c r="G1230" s="4" t="str">
        <f aca="false">INDEX(Products!$C$2:$C$9,MATCH(E1230,Products!$A$2:$A$9,0))</f>
        <v>Software</v>
      </c>
      <c r="H1230" s="5" t="n">
        <v>1</v>
      </c>
      <c r="I1230" s="6" t="n">
        <f aca="false">INDEX(Products!$D$2:$D$9,MATCH(E1230,Products!$A$2:$A$9,0))</f>
        <v>290</v>
      </c>
      <c r="J1230" s="7" t="n">
        <v>0.15</v>
      </c>
      <c r="K1230" s="8" t="n">
        <f aca="false">H1230*I1230*(1-J1230)</f>
        <v>246.5</v>
      </c>
      <c r="L1230" s="6" t="n">
        <f aca="false">H1230*INDEX(Products!$E$2:$E$9,MATCH(E1230,Products!$A$2:$A$9,0))</f>
        <v>41</v>
      </c>
      <c r="M1230" s="8" t="n">
        <f aca="false">K1230-L1230</f>
        <v>205.5</v>
      </c>
      <c r="N1230" s="2" t="s">
        <v>19</v>
      </c>
      <c r="O1230" s="2" t="s">
        <v>64</v>
      </c>
    </row>
    <row r="1231" customFormat="false" ht="15" hidden="false" customHeight="false" outlineLevel="0" collapsed="false">
      <c r="A1231" s="2" t="s">
        <v>1285</v>
      </c>
      <c r="B1231" s="3" t="n">
        <v>46163</v>
      </c>
      <c r="C1231" s="2" t="s">
        <v>16</v>
      </c>
      <c r="D1231" s="2" t="s">
        <v>22</v>
      </c>
      <c r="E1231" s="2" t="s">
        <v>23</v>
      </c>
      <c r="F1231" s="4" t="str">
        <f aca="false">INDEX(Products!$B$2:$B$9,MATCH(E1231,Products!$A$2:$A$9,0))</f>
        <v>Sensor Hub S</v>
      </c>
      <c r="G1231" s="4" t="str">
        <f aca="false">INDEX(Products!$C$2:$C$9,MATCH(E1231,Products!$A$2:$A$9,0))</f>
        <v>Hardware</v>
      </c>
      <c r="H1231" s="5" t="n">
        <v>8</v>
      </c>
      <c r="I1231" s="6" t="n">
        <f aca="false">INDEX(Products!$D$2:$D$9,MATCH(E1231,Products!$A$2:$A$9,0))</f>
        <v>189</v>
      </c>
      <c r="J1231" s="7" t="n">
        <v>0.15</v>
      </c>
      <c r="K1231" s="8" t="n">
        <f aca="false">H1231*I1231*(1-J1231)</f>
        <v>1285.2</v>
      </c>
      <c r="L1231" s="6" t="n">
        <f aca="false">H1231*INDEX(Products!$E$2:$E$9,MATCH(E1231,Products!$A$2:$A$9,0))</f>
        <v>784</v>
      </c>
      <c r="M1231" s="8" t="n">
        <f aca="false">K1231-L1231</f>
        <v>501.2</v>
      </c>
      <c r="N1231" s="2" t="s">
        <v>19</v>
      </c>
      <c r="O1231" s="2" t="s">
        <v>36</v>
      </c>
    </row>
    <row r="1232" customFormat="false" ht="15" hidden="false" customHeight="false" outlineLevel="0" collapsed="false">
      <c r="A1232" s="2" t="s">
        <v>1286</v>
      </c>
      <c r="B1232" s="3" t="n">
        <v>46164</v>
      </c>
      <c r="C1232" s="2" t="s">
        <v>47</v>
      </c>
      <c r="D1232" s="2" t="s">
        <v>71</v>
      </c>
      <c r="E1232" s="2" t="s">
        <v>32</v>
      </c>
      <c r="F1232" s="4" t="str">
        <f aca="false">INDEX(Products!$B$2:$B$9,MATCH(E1232,Products!$A$2:$A$9,0))</f>
        <v>Analytics Plus</v>
      </c>
      <c r="G1232" s="4" t="str">
        <f aca="false">INDEX(Products!$C$2:$C$9,MATCH(E1232,Products!$A$2:$A$9,0))</f>
        <v>Software</v>
      </c>
      <c r="H1232" s="5" t="n">
        <v>1</v>
      </c>
      <c r="I1232" s="6" t="n">
        <f aca="false">INDEX(Products!$D$2:$D$9,MATCH(E1232,Products!$A$2:$A$9,0))</f>
        <v>290</v>
      </c>
      <c r="J1232" s="7" t="n">
        <v>0.1</v>
      </c>
      <c r="K1232" s="8" t="n">
        <f aca="false">H1232*I1232*(1-J1232)</f>
        <v>261</v>
      </c>
      <c r="L1232" s="6" t="n">
        <f aca="false">H1232*INDEX(Products!$E$2:$E$9,MATCH(E1232,Products!$A$2:$A$9,0))</f>
        <v>41</v>
      </c>
      <c r="M1232" s="8" t="n">
        <f aca="false">K1232-L1232</f>
        <v>220</v>
      </c>
      <c r="N1232" s="2" t="s">
        <v>19</v>
      </c>
      <c r="O1232" s="2" t="s">
        <v>50</v>
      </c>
    </row>
    <row r="1233" customFormat="false" ht="15" hidden="false" customHeight="false" outlineLevel="0" collapsed="false">
      <c r="A1233" s="2" t="s">
        <v>1287</v>
      </c>
      <c r="B1233" s="3" t="n">
        <v>46166</v>
      </c>
      <c r="C1233" s="2" t="s">
        <v>47</v>
      </c>
      <c r="D1233" s="2" t="s">
        <v>55</v>
      </c>
      <c r="E1233" s="2" t="s">
        <v>61</v>
      </c>
      <c r="F1233" s="4" t="str">
        <f aca="false">INDEX(Products!$B$2:$B$9,MATCH(E1233,Products!$A$2:$A$9,0))</f>
        <v>Install Service</v>
      </c>
      <c r="G1233" s="4" t="str">
        <f aca="false">INDEX(Products!$C$2:$C$9,MATCH(E1233,Products!$A$2:$A$9,0))</f>
        <v>Services</v>
      </c>
      <c r="H1233" s="5" t="n">
        <v>3</v>
      </c>
      <c r="I1233" s="6" t="n">
        <f aca="false">INDEX(Products!$D$2:$D$9,MATCH(E1233,Products!$A$2:$A$9,0))</f>
        <v>450</v>
      </c>
      <c r="J1233" s="7" t="n">
        <v>0.15</v>
      </c>
      <c r="K1233" s="8" t="n">
        <f aca="false">H1233*I1233*(1-J1233)</f>
        <v>1147.5</v>
      </c>
      <c r="L1233" s="6" t="n">
        <f aca="false">H1233*INDEX(Products!$E$2:$E$9,MATCH(E1233,Products!$A$2:$A$9,0))</f>
        <v>930</v>
      </c>
      <c r="M1233" s="8" t="n">
        <f aca="false">K1233-L1233</f>
        <v>217.5</v>
      </c>
      <c r="N1233" s="2" t="s">
        <v>28</v>
      </c>
      <c r="O1233" s="2" t="s">
        <v>50</v>
      </c>
    </row>
    <row r="1234" customFormat="false" ht="15" hidden="false" customHeight="false" outlineLevel="0" collapsed="false">
      <c r="A1234" s="2" t="s">
        <v>1288</v>
      </c>
      <c r="B1234" s="3" t="n">
        <v>46167</v>
      </c>
      <c r="C1234" s="2" t="s">
        <v>47</v>
      </c>
      <c r="D1234" s="2" t="s">
        <v>55</v>
      </c>
      <c r="E1234" s="2" t="s">
        <v>26</v>
      </c>
      <c r="F1234" s="4" t="str">
        <f aca="false">INDEX(Products!$B$2:$B$9,MATCH(E1234,Products!$A$2:$A$9,0))</f>
        <v>Analytics Basic</v>
      </c>
      <c r="G1234" s="4" t="str">
        <f aca="false">INDEX(Products!$C$2:$C$9,MATCH(E1234,Products!$A$2:$A$9,0))</f>
        <v>Software</v>
      </c>
      <c r="H1234" s="5" t="n">
        <v>3</v>
      </c>
      <c r="I1234" s="6" t="n">
        <f aca="false">INDEX(Products!$D$2:$D$9,MATCH(E1234,Products!$A$2:$A$9,0))</f>
        <v>120</v>
      </c>
      <c r="J1234" s="7" t="n">
        <v>0.05</v>
      </c>
      <c r="K1234" s="8" t="n">
        <f aca="false">H1234*I1234*(1-J1234)</f>
        <v>342</v>
      </c>
      <c r="L1234" s="6" t="n">
        <f aca="false">H1234*INDEX(Products!$E$2:$E$9,MATCH(E1234,Products!$A$2:$A$9,0))</f>
        <v>54</v>
      </c>
      <c r="M1234" s="8" t="n">
        <f aca="false">K1234-L1234</f>
        <v>288</v>
      </c>
      <c r="N1234" s="2" t="s">
        <v>28</v>
      </c>
      <c r="O1234" s="2" t="s">
        <v>72</v>
      </c>
    </row>
    <row r="1235" customFormat="false" ht="15" hidden="false" customHeight="false" outlineLevel="0" collapsed="false">
      <c r="A1235" s="2" t="s">
        <v>1289</v>
      </c>
      <c r="B1235" s="3" t="n">
        <v>46167</v>
      </c>
      <c r="C1235" s="2" t="s">
        <v>59</v>
      </c>
      <c r="D1235" s="2" t="s">
        <v>101</v>
      </c>
      <c r="E1235" s="2" t="s">
        <v>49</v>
      </c>
      <c r="F1235" s="4" t="str">
        <f aca="false">INDEX(Products!$B$2:$B$9,MATCH(E1235,Products!$A$2:$A$9,0))</f>
        <v>Mounting Kit</v>
      </c>
      <c r="G1235" s="4" t="str">
        <f aca="false">INDEX(Products!$C$2:$C$9,MATCH(E1235,Products!$A$2:$A$9,0))</f>
        <v>Accessories</v>
      </c>
      <c r="H1235" s="5" t="n">
        <v>2</v>
      </c>
      <c r="I1235" s="6" t="n">
        <f aca="false">INDEX(Products!$D$2:$D$9,MATCH(E1235,Products!$A$2:$A$9,0))</f>
        <v>39</v>
      </c>
      <c r="J1235" s="7" t="n">
        <v>0.1</v>
      </c>
      <c r="K1235" s="8" t="n">
        <f aca="false">H1235*I1235*(1-J1235)</f>
        <v>70.2</v>
      </c>
      <c r="L1235" s="6" t="n">
        <f aca="false">H1235*INDEX(Products!$E$2:$E$9,MATCH(E1235,Products!$A$2:$A$9,0))</f>
        <v>63</v>
      </c>
      <c r="M1235" s="8" t="n">
        <f aca="false">K1235-L1235</f>
        <v>7.2</v>
      </c>
      <c r="N1235" s="2" t="s">
        <v>38</v>
      </c>
      <c r="O1235" s="2" t="s">
        <v>62</v>
      </c>
    </row>
    <row r="1236" customFormat="false" ht="15" hidden="false" customHeight="false" outlineLevel="0" collapsed="false">
      <c r="A1236" s="2" t="s">
        <v>1290</v>
      </c>
      <c r="B1236" s="3" t="n">
        <v>46167</v>
      </c>
      <c r="C1236" s="2" t="s">
        <v>47</v>
      </c>
      <c r="D1236" s="2" t="s">
        <v>48</v>
      </c>
      <c r="E1236" s="2" t="s">
        <v>68</v>
      </c>
      <c r="F1236" s="4" t="str">
        <f aca="false">INDEX(Products!$B$2:$B$9,MATCH(E1236,Products!$A$2:$A$9,0))</f>
        <v>Premium Support</v>
      </c>
      <c r="G1236" s="4" t="str">
        <f aca="false">INDEX(Products!$C$2:$C$9,MATCH(E1236,Products!$A$2:$A$9,0))</f>
        <v>Services</v>
      </c>
      <c r="H1236" s="5" t="n">
        <v>1</v>
      </c>
      <c r="I1236" s="6" t="n">
        <f aca="false">INDEX(Products!$D$2:$D$9,MATCH(E1236,Products!$A$2:$A$9,0))</f>
        <v>600</v>
      </c>
      <c r="J1236" s="7" t="n">
        <v>0.05</v>
      </c>
      <c r="K1236" s="8" t="n">
        <f aca="false">H1236*I1236*(1-J1236)</f>
        <v>570</v>
      </c>
      <c r="L1236" s="6" t="n">
        <f aca="false">H1236*INDEX(Products!$E$2:$E$9,MATCH(E1236,Products!$A$2:$A$9,0))</f>
        <v>395</v>
      </c>
      <c r="M1236" s="8" t="n">
        <f aca="false">K1236-L1236</f>
        <v>175</v>
      </c>
      <c r="N1236" s="2" t="s">
        <v>28</v>
      </c>
      <c r="O1236" s="2" t="s">
        <v>72</v>
      </c>
    </row>
    <row r="1237" customFormat="false" ht="15" hidden="false" customHeight="false" outlineLevel="0" collapsed="false">
      <c r="A1237" s="2" t="s">
        <v>1291</v>
      </c>
      <c r="B1237" s="3" t="n">
        <v>46168</v>
      </c>
      <c r="C1237" s="2" t="s">
        <v>41</v>
      </c>
      <c r="D1237" s="2" t="s">
        <v>42</v>
      </c>
      <c r="E1237" s="2" t="s">
        <v>23</v>
      </c>
      <c r="F1237" s="4" t="str">
        <f aca="false">INDEX(Products!$B$2:$B$9,MATCH(E1237,Products!$A$2:$A$9,0))</f>
        <v>Sensor Hub S</v>
      </c>
      <c r="G1237" s="4" t="str">
        <f aca="false">INDEX(Products!$C$2:$C$9,MATCH(E1237,Products!$A$2:$A$9,0))</f>
        <v>Hardware</v>
      </c>
      <c r="H1237" s="5" t="n">
        <v>1</v>
      </c>
      <c r="I1237" s="6" t="n">
        <f aca="false">INDEX(Products!$D$2:$D$9,MATCH(E1237,Products!$A$2:$A$9,0))</f>
        <v>189</v>
      </c>
      <c r="J1237" s="7" t="n">
        <v>0.1</v>
      </c>
      <c r="K1237" s="8" t="n">
        <f aca="false">H1237*I1237*(1-J1237)</f>
        <v>170.1</v>
      </c>
      <c r="L1237" s="6" t="n">
        <f aca="false">H1237*INDEX(Products!$E$2:$E$9,MATCH(E1237,Products!$A$2:$A$9,0))</f>
        <v>98</v>
      </c>
      <c r="M1237" s="8" t="n">
        <f aca="false">K1237-L1237</f>
        <v>72.1</v>
      </c>
      <c r="N1237" s="2" t="s">
        <v>19</v>
      </c>
      <c r="O1237" s="2" t="s">
        <v>52</v>
      </c>
    </row>
    <row r="1238" customFormat="false" ht="15" hidden="false" customHeight="false" outlineLevel="0" collapsed="false">
      <c r="A1238" s="2" t="s">
        <v>1292</v>
      </c>
      <c r="B1238" s="3" t="n">
        <v>46168</v>
      </c>
      <c r="C1238" s="2" t="s">
        <v>59</v>
      </c>
      <c r="D1238" s="2" t="s">
        <v>91</v>
      </c>
      <c r="E1238" s="2" t="s">
        <v>32</v>
      </c>
      <c r="F1238" s="4" t="str">
        <f aca="false">INDEX(Products!$B$2:$B$9,MATCH(E1238,Products!$A$2:$A$9,0))</f>
        <v>Analytics Plus</v>
      </c>
      <c r="G1238" s="4" t="str">
        <f aca="false">INDEX(Products!$C$2:$C$9,MATCH(E1238,Products!$A$2:$A$9,0))</f>
        <v>Software</v>
      </c>
      <c r="H1238" s="5" t="n">
        <v>1</v>
      </c>
      <c r="I1238" s="6" t="n">
        <f aca="false">INDEX(Products!$D$2:$D$9,MATCH(E1238,Products!$A$2:$A$9,0))</f>
        <v>290</v>
      </c>
      <c r="J1238" s="7" t="n">
        <v>0.05</v>
      </c>
      <c r="K1238" s="8" t="n">
        <f aca="false">H1238*I1238*(1-J1238)</f>
        <v>275.5</v>
      </c>
      <c r="L1238" s="6" t="n">
        <f aca="false">H1238*INDEX(Products!$E$2:$E$9,MATCH(E1238,Products!$A$2:$A$9,0))</f>
        <v>41</v>
      </c>
      <c r="M1238" s="8" t="n">
        <f aca="false">K1238-L1238</f>
        <v>234.5</v>
      </c>
      <c r="N1238" s="2" t="s">
        <v>28</v>
      </c>
      <c r="O1238" s="2" t="s">
        <v>62</v>
      </c>
    </row>
    <row r="1239" customFormat="false" ht="15" hidden="false" customHeight="false" outlineLevel="0" collapsed="false">
      <c r="A1239" s="2" t="s">
        <v>1293</v>
      </c>
      <c r="B1239" s="3" t="n">
        <v>46168</v>
      </c>
      <c r="C1239" s="2" t="s">
        <v>16</v>
      </c>
      <c r="D1239" s="2" t="s">
        <v>22</v>
      </c>
      <c r="E1239" s="2" t="s">
        <v>26</v>
      </c>
      <c r="F1239" s="4" t="str">
        <f aca="false">INDEX(Products!$B$2:$B$9,MATCH(E1239,Products!$A$2:$A$9,0))</f>
        <v>Analytics Basic</v>
      </c>
      <c r="G1239" s="4" t="str">
        <f aca="false">INDEX(Products!$C$2:$C$9,MATCH(E1239,Products!$A$2:$A$9,0))</f>
        <v>Software</v>
      </c>
      <c r="H1239" s="5" t="n">
        <v>1</v>
      </c>
      <c r="I1239" s="6" t="n">
        <f aca="false">INDEX(Products!$D$2:$D$9,MATCH(E1239,Products!$A$2:$A$9,0))</f>
        <v>120</v>
      </c>
      <c r="J1239" s="7" t="n">
        <v>0.1</v>
      </c>
      <c r="K1239" s="8" t="n">
        <f aca="false">H1239*I1239*(1-J1239)</f>
        <v>108</v>
      </c>
      <c r="L1239" s="6" t="n">
        <f aca="false">H1239*INDEX(Products!$E$2:$E$9,MATCH(E1239,Products!$A$2:$A$9,0))</f>
        <v>18</v>
      </c>
      <c r="M1239" s="8" t="n">
        <f aca="false">K1239-L1239</f>
        <v>90</v>
      </c>
      <c r="N1239" s="2" t="s">
        <v>19</v>
      </c>
      <c r="O1239" s="2" t="s">
        <v>36</v>
      </c>
    </row>
    <row r="1240" customFormat="false" ht="15" hidden="false" customHeight="false" outlineLevel="0" collapsed="false">
      <c r="A1240" s="2" t="s">
        <v>1294</v>
      </c>
      <c r="B1240" s="3" t="n">
        <v>46168</v>
      </c>
      <c r="C1240" s="2" t="s">
        <v>41</v>
      </c>
      <c r="D1240" s="2" t="s">
        <v>42</v>
      </c>
      <c r="E1240" s="2" t="s">
        <v>23</v>
      </c>
      <c r="F1240" s="4" t="str">
        <f aca="false">INDEX(Products!$B$2:$B$9,MATCH(E1240,Products!$A$2:$A$9,0))</f>
        <v>Sensor Hub S</v>
      </c>
      <c r="G1240" s="4" t="str">
        <f aca="false">INDEX(Products!$C$2:$C$9,MATCH(E1240,Products!$A$2:$A$9,0))</f>
        <v>Hardware</v>
      </c>
      <c r="H1240" s="5" t="n">
        <v>1</v>
      </c>
      <c r="I1240" s="6" t="n">
        <f aca="false">INDEX(Products!$D$2:$D$9,MATCH(E1240,Products!$A$2:$A$9,0))</f>
        <v>189</v>
      </c>
      <c r="J1240" s="7" t="n">
        <v>0</v>
      </c>
      <c r="K1240" s="8" t="n">
        <f aca="false">H1240*I1240*(1-J1240)</f>
        <v>189</v>
      </c>
      <c r="L1240" s="6" t="n">
        <f aca="false">H1240*INDEX(Products!$E$2:$E$9,MATCH(E1240,Products!$A$2:$A$9,0))</f>
        <v>98</v>
      </c>
      <c r="M1240" s="8" t="n">
        <f aca="false">K1240-L1240</f>
        <v>91</v>
      </c>
      <c r="N1240" s="2" t="s">
        <v>28</v>
      </c>
      <c r="O1240" s="2" t="s">
        <v>43</v>
      </c>
    </row>
    <row r="1241" customFormat="false" ht="15" hidden="false" customHeight="false" outlineLevel="0" collapsed="false">
      <c r="A1241" s="2" t="s">
        <v>1295</v>
      </c>
      <c r="B1241" s="3" t="n">
        <v>46169</v>
      </c>
      <c r="C1241" s="2" t="s">
        <v>41</v>
      </c>
      <c r="D1241" s="2" t="s">
        <v>66</v>
      </c>
      <c r="E1241" s="2" t="s">
        <v>18</v>
      </c>
      <c r="F1241" s="4" t="str">
        <f aca="false">INDEX(Products!$B$2:$B$9,MATCH(E1241,Products!$A$2:$A$9,0))</f>
        <v>Sensor Hub Pro</v>
      </c>
      <c r="G1241" s="4" t="str">
        <f aca="false">INDEX(Products!$C$2:$C$9,MATCH(E1241,Products!$A$2:$A$9,0))</f>
        <v>Hardware</v>
      </c>
      <c r="H1241" s="5" t="n">
        <v>4</v>
      </c>
      <c r="I1241" s="6" t="n">
        <f aca="false">INDEX(Products!$D$2:$D$9,MATCH(E1241,Products!$A$2:$A$9,0))</f>
        <v>349</v>
      </c>
      <c r="J1241" s="7" t="n">
        <v>0.1</v>
      </c>
      <c r="K1241" s="8" t="n">
        <f aca="false">H1241*I1241*(1-J1241)</f>
        <v>1256.4</v>
      </c>
      <c r="L1241" s="6" t="n">
        <f aca="false">H1241*INDEX(Products!$E$2:$E$9,MATCH(E1241,Products!$A$2:$A$9,0))</f>
        <v>804</v>
      </c>
      <c r="M1241" s="8" t="n">
        <f aca="false">K1241-L1241</f>
        <v>452.4</v>
      </c>
      <c r="N1241" s="2" t="s">
        <v>28</v>
      </c>
      <c r="O1241" s="2" t="s">
        <v>43</v>
      </c>
    </row>
    <row r="1242" customFormat="false" ht="15" hidden="false" customHeight="false" outlineLevel="0" collapsed="false">
      <c r="A1242" s="2" t="s">
        <v>1296</v>
      </c>
      <c r="B1242" s="3" t="n">
        <v>46169</v>
      </c>
      <c r="C1242" s="2" t="s">
        <v>47</v>
      </c>
      <c r="D1242" s="2" t="s">
        <v>71</v>
      </c>
      <c r="E1242" s="2" t="s">
        <v>18</v>
      </c>
      <c r="F1242" s="4" t="str">
        <f aca="false">INDEX(Products!$B$2:$B$9,MATCH(E1242,Products!$A$2:$A$9,0))</f>
        <v>Sensor Hub Pro</v>
      </c>
      <c r="G1242" s="4" t="str">
        <f aca="false">INDEX(Products!$C$2:$C$9,MATCH(E1242,Products!$A$2:$A$9,0))</f>
        <v>Hardware</v>
      </c>
      <c r="H1242" s="5" t="n">
        <v>20</v>
      </c>
      <c r="I1242" s="6" t="n">
        <f aca="false">INDEX(Products!$D$2:$D$9,MATCH(E1242,Products!$A$2:$A$9,0))</f>
        <v>349</v>
      </c>
      <c r="J1242" s="7" t="n">
        <v>0.05</v>
      </c>
      <c r="K1242" s="8" t="n">
        <f aca="false">H1242*I1242*(1-J1242)</f>
        <v>6631</v>
      </c>
      <c r="L1242" s="6" t="n">
        <f aca="false">H1242*INDEX(Products!$E$2:$E$9,MATCH(E1242,Products!$A$2:$A$9,0))</f>
        <v>4020</v>
      </c>
      <c r="M1242" s="8" t="n">
        <f aca="false">K1242-L1242</f>
        <v>2611</v>
      </c>
      <c r="N1242" s="2" t="s">
        <v>38</v>
      </c>
      <c r="O1242" s="2" t="s">
        <v>72</v>
      </c>
    </row>
    <row r="1243" customFormat="false" ht="15" hidden="false" customHeight="false" outlineLevel="0" collapsed="false">
      <c r="A1243" s="2" t="s">
        <v>1297</v>
      </c>
      <c r="B1243" s="3" t="n">
        <v>46169</v>
      </c>
      <c r="C1243" s="2" t="s">
        <v>59</v>
      </c>
      <c r="D1243" s="2" t="s">
        <v>101</v>
      </c>
      <c r="E1243" s="2" t="s">
        <v>32</v>
      </c>
      <c r="F1243" s="4" t="str">
        <f aca="false">INDEX(Products!$B$2:$B$9,MATCH(E1243,Products!$A$2:$A$9,0))</f>
        <v>Analytics Plus</v>
      </c>
      <c r="G1243" s="4" t="str">
        <f aca="false">INDEX(Products!$C$2:$C$9,MATCH(E1243,Products!$A$2:$A$9,0))</f>
        <v>Software</v>
      </c>
      <c r="H1243" s="5" t="n">
        <v>5</v>
      </c>
      <c r="I1243" s="6" t="n">
        <f aca="false">INDEX(Products!$D$2:$D$9,MATCH(E1243,Products!$A$2:$A$9,0))</f>
        <v>290</v>
      </c>
      <c r="J1243" s="7" t="n">
        <v>0</v>
      </c>
      <c r="K1243" s="8" t="n">
        <f aca="false">H1243*I1243*(1-J1243)</f>
        <v>1450</v>
      </c>
      <c r="L1243" s="6" t="n">
        <f aca="false">H1243*INDEX(Products!$E$2:$E$9,MATCH(E1243,Products!$A$2:$A$9,0))</f>
        <v>205</v>
      </c>
      <c r="M1243" s="8" t="n">
        <f aca="false">K1243-L1243</f>
        <v>1245</v>
      </c>
      <c r="N1243" s="2" t="s">
        <v>28</v>
      </c>
      <c r="O1243" s="2" t="s">
        <v>62</v>
      </c>
    </row>
    <row r="1244" customFormat="false" ht="15" hidden="false" customHeight="false" outlineLevel="0" collapsed="false">
      <c r="A1244" s="2" t="s">
        <v>1298</v>
      </c>
      <c r="B1244" s="3" t="n">
        <v>46169</v>
      </c>
      <c r="C1244" s="2" t="s">
        <v>59</v>
      </c>
      <c r="D1244" s="2" t="s">
        <v>60</v>
      </c>
      <c r="E1244" s="2" t="s">
        <v>32</v>
      </c>
      <c r="F1244" s="4" t="str">
        <f aca="false">INDEX(Products!$B$2:$B$9,MATCH(E1244,Products!$A$2:$A$9,0))</f>
        <v>Analytics Plus</v>
      </c>
      <c r="G1244" s="4" t="str">
        <f aca="false">INDEX(Products!$C$2:$C$9,MATCH(E1244,Products!$A$2:$A$9,0))</f>
        <v>Software</v>
      </c>
      <c r="H1244" s="5" t="n">
        <v>1</v>
      </c>
      <c r="I1244" s="6" t="n">
        <f aca="false">INDEX(Products!$D$2:$D$9,MATCH(E1244,Products!$A$2:$A$9,0))</f>
        <v>290</v>
      </c>
      <c r="J1244" s="7" t="n">
        <v>0.15</v>
      </c>
      <c r="K1244" s="8" t="n">
        <f aca="false">H1244*I1244*(1-J1244)</f>
        <v>246.5</v>
      </c>
      <c r="L1244" s="6" t="n">
        <f aca="false">H1244*INDEX(Products!$E$2:$E$9,MATCH(E1244,Products!$A$2:$A$9,0))</f>
        <v>41</v>
      </c>
      <c r="M1244" s="8" t="n">
        <f aca="false">K1244-L1244</f>
        <v>205.5</v>
      </c>
      <c r="N1244" s="2" t="s">
        <v>19</v>
      </c>
      <c r="O1244" s="2" t="s">
        <v>62</v>
      </c>
    </row>
    <row r="1245" customFormat="false" ht="15" hidden="false" customHeight="false" outlineLevel="0" collapsed="false">
      <c r="A1245" s="2" t="s">
        <v>1299</v>
      </c>
      <c r="B1245" s="3" t="n">
        <v>46170</v>
      </c>
      <c r="C1245" s="2" t="s">
        <v>59</v>
      </c>
      <c r="D1245" s="2" t="s">
        <v>101</v>
      </c>
      <c r="E1245" s="2" t="s">
        <v>26</v>
      </c>
      <c r="F1245" s="4" t="str">
        <f aca="false">INDEX(Products!$B$2:$B$9,MATCH(E1245,Products!$A$2:$A$9,0))</f>
        <v>Analytics Basic</v>
      </c>
      <c r="G1245" s="4" t="str">
        <f aca="false">INDEX(Products!$C$2:$C$9,MATCH(E1245,Products!$A$2:$A$9,0))</f>
        <v>Software</v>
      </c>
      <c r="H1245" s="5" t="n">
        <v>1</v>
      </c>
      <c r="I1245" s="6" t="n">
        <f aca="false">INDEX(Products!$D$2:$D$9,MATCH(E1245,Products!$A$2:$A$9,0))</f>
        <v>120</v>
      </c>
      <c r="J1245" s="7" t="n">
        <v>0</v>
      </c>
      <c r="K1245" s="8" t="n">
        <f aca="false">H1245*I1245*(1-J1245)</f>
        <v>120</v>
      </c>
      <c r="L1245" s="6" t="n">
        <f aca="false">H1245*INDEX(Products!$E$2:$E$9,MATCH(E1245,Products!$A$2:$A$9,0))</f>
        <v>18</v>
      </c>
      <c r="M1245" s="8" t="n">
        <f aca="false">K1245-L1245</f>
        <v>102</v>
      </c>
      <c r="N1245" s="2" t="s">
        <v>38</v>
      </c>
      <c r="O1245" s="2" t="s">
        <v>62</v>
      </c>
    </row>
    <row r="1246" customFormat="false" ht="15" hidden="false" customHeight="false" outlineLevel="0" collapsed="false">
      <c r="A1246" s="2" t="s">
        <v>1300</v>
      </c>
      <c r="B1246" s="3" t="n">
        <v>46170</v>
      </c>
      <c r="C1246" s="2" t="s">
        <v>16</v>
      </c>
      <c r="D1246" s="2" t="s">
        <v>17</v>
      </c>
      <c r="E1246" s="2" t="s">
        <v>23</v>
      </c>
      <c r="F1246" s="4" t="str">
        <f aca="false">INDEX(Products!$B$2:$B$9,MATCH(E1246,Products!$A$2:$A$9,0))</f>
        <v>Sensor Hub S</v>
      </c>
      <c r="G1246" s="4" t="str">
        <f aca="false">INDEX(Products!$C$2:$C$9,MATCH(E1246,Products!$A$2:$A$9,0))</f>
        <v>Hardware</v>
      </c>
      <c r="H1246" s="5" t="n">
        <v>10</v>
      </c>
      <c r="I1246" s="6" t="n">
        <f aca="false">INDEX(Products!$D$2:$D$9,MATCH(E1246,Products!$A$2:$A$9,0))</f>
        <v>189</v>
      </c>
      <c r="J1246" s="7" t="n">
        <v>0</v>
      </c>
      <c r="K1246" s="8" t="n">
        <f aca="false">H1246*I1246*(1-J1246)</f>
        <v>1890</v>
      </c>
      <c r="L1246" s="6" t="n">
        <f aca="false">H1246*INDEX(Products!$E$2:$E$9,MATCH(E1246,Products!$A$2:$A$9,0))</f>
        <v>980</v>
      </c>
      <c r="M1246" s="8" t="n">
        <f aca="false">K1246-L1246</f>
        <v>910</v>
      </c>
      <c r="N1246" s="2" t="s">
        <v>28</v>
      </c>
      <c r="O1246" s="2" t="s">
        <v>20</v>
      </c>
    </row>
    <row r="1247" customFormat="false" ht="15" hidden="false" customHeight="false" outlineLevel="0" collapsed="false">
      <c r="A1247" s="2" t="s">
        <v>1301</v>
      </c>
      <c r="B1247" s="3" t="n">
        <v>46170</v>
      </c>
      <c r="C1247" s="2" t="s">
        <v>30</v>
      </c>
      <c r="D1247" s="2" t="s">
        <v>77</v>
      </c>
      <c r="E1247" s="2" t="s">
        <v>61</v>
      </c>
      <c r="F1247" s="4" t="str">
        <f aca="false">INDEX(Products!$B$2:$B$9,MATCH(E1247,Products!$A$2:$A$9,0))</f>
        <v>Install Service</v>
      </c>
      <c r="G1247" s="4" t="str">
        <f aca="false">INDEX(Products!$C$2:$C$9,MATCH(E1247,Products!$A$2:$A$9,0))</f>
        <v>Services</v>
      </c>
      <c r="H1247" s="5" t="n">
        <v>1</v>
      </c>
      <c r="I1247" s="6" t="n">
        <f aca="false">INDEX(Products!$D$2:$D$9,MATCH(E1247,Products!$A$2:$A$9,0))</f>
        <v>450</v>
      </c>
      <c r="J1247" s="7" t="n">
        <v>0</v>
      </c>
      <c r="K1247" s="8" t="n">
        <f aca="false">H1247*I1247*(1-J1247)</f>
        <v>450</v>
      </c>
      <c r="L1247" s="6" t="n">
        <f aca="false">H1247*INDEX(Products!$E$2:$E$9,MATCH(E1247,Products!$A$2:$A$9,0))</f>
        <v>310</v>
      </c>
      <c r="M1247" s="8" t="n">
        <f aca="false">K1247-L1247</f>
        <v>140</v>
      </c>
      <c r="N1247" s="2" t="s">
        <v>38</v>
      </c>
      <c r="O1247" s="2" t="s">
        <v>64</v>
      </c>
    </row>
    <row r="1248" customFormat="false" ht="15" hidden="false" customHeight="false" outlineLevel="0" collapsed="false">
      <c r="A1248" s="2" t="s">
        <v>1302</v>
      </c>
      <c r="B1248" s="3" t="n">
        <v>46171</v>
      </c>
      <c r="C1248" s="2" t="s">
        <v>16</v>
      </c>
      <c r="D1248" s="2" t="s">
        <v>17</v>
      </c>
      <c r="E1248" s="2" t="s">
        <v>49</v>
      </c>
      <c r="F1248" s="4" t="str">
        <f aca="false">INDEX(Products!$B$2:$B$9,MATCH(E1248,Products!$A$2:$A$9,0))</f>
        <v>Mounting Kit</v>
      </c>
      <c r="G1248" s="4" t="str">
        <f aca="false">INDEX(Products!$C$2:$C$9,MATCH(E1248,Products!$A$2:$A$9,0))</f>
        <v>Accessories</v>
      </c>
      <c r="H1248" s="5" t="n">
        <v>2</v>
      </c>
      <c r="I1248" s="6" t="n">
        <f aca="false">INDEX(Products!$D$2:$D$9,MATCH(E1248,Products!$A$2:$A$9,0))</f>
        <v>39</v>
      </c>
      <c r="J1248" s="7" t="n">
        <v>0</v>
      </c>
      <c r="K1248" s="8" t="n">
        <f aca="false">H1248*I1248*(1-J1248)</f>
        <v>78</v>
      </c>
      <c r="L1248" s="6" t="n">
        <f aca="false">H1248*INDEX(Products!$E$2:$E$9,MATCH(E1248,Products!$A$2:$A$9,0))</f>
        <v>63</v>
      </c>
      <c r="M1248" s="8" t="n">
        <f aca="false">K1248-L1248</f>
        <v>15</v>
      </c>
      <c r="N1248" s="2" t="s">
        <v>28</v>
      </c>
      <c r="O1248" s="2" t="s">
        <v>36</v>
      </c>
    </row>
    <row r="1249" customFormat="false" ht="15" hidden="false" customHeight="false" outlineLevel="0" collapsed="false">
      <c r="A1249" s="2" t="s">
        <v>1303</v>
      </c>
      <c r="B1249" s="3" t="n">
        <v>46171</v>
      </c>
      <c r="C1249" s="2" t="s">
        <v>47</v>
      </c>
      <c r="D1249" s="2" t="s">
        <v>55</v>
      </c>
      <c r="E1249" s="2" t="s">
        <v>68</v>
      </c>
      <c r="F1249" s="4" t="str">
        <f aca="false">INDEX(Products!$B$2:$B$9,MATCH(E1249,Products!$A$2:$A$9,0))</f>
        <v>Premium Support</v>
      </c>
      <c r="G1249" s="4" t="str">
        <f aca="false">INDEX(Products!$C$2:$C$9,MATCH(E1249,Products!$A$2:$A$9,0))</f>
        <v>Services</v>
      </c>
      <c r="H1249" s="5" t="n">
        <v>3</v>
      </c>
      <c r="I1249" s="6" t="n">
        <f aca="false">INDEX(Products!$D$2:$D$9,MATCH(E1249,Products!$A$2:$A$9,0))</f>
        <v>600</v>
      </c>
      <c r="J1249" s="7" t="n">
        <v>0.15</v>
      </c>
      <c r="K1249" s="8" t="n">
        <f aca="false">H1249*I1249*(1-J1249)</f>
        <v>1530</v>
      </c>
      <c r="L1249" s="6" t="n">
        <f aca="false">H1249*INDEX(Products!$E$2:$E$9,MATCH(E1249,Products!$A$2:$A$9,0))</f>
        <v>1185</v>
      </c>
      <c r="M1249" s="8" t="n">
        <f aca="false">K1249-L1249</f>
        <v>345</v>
      </c>
      <c r="N1249" s="2" t="s">
        <v>19</v>
      </c>
      <c r="O1249" s="2" t="s">
        <v>50</v>
      </c>
    </row>
    <row r="1250" customFormat="false" ht="15" hidden="false" customHeight="false" outlineLevel="0" collapsed="false">
      <c r="A1250" s="2" t="s">
        <v>1304</v>
      </c>
      <c r="B1250" s="3" t="n">
        <v>46171</v>
      </c>
      <c r="C1250" s="2" t="s">
        <v>41</v>
      </c>
      <c r="D1250" s="2" t="s">
        <v>42</v>
      </c>
      <c r="E1250" s="2" t="s">
        <v>68</v>
      </c>
      <c r="F1250" s="4" t="str">
        <f aca="false">INDEX(Products!$B$2:$B$9,MATCH(E1250,Products!$A$2:$A$9,0))</f>
        <v>Premium Support</v>
      </c>
      <c r="G1250" s="4" t="str">
        <f aca="false">INDEX(Products!$C$2:$C$9,MATCH(E1250,Products!$A$2:$A$9,0))</f>
        <v>Services</v>
      </c>
      <c r="H1250" s="5" t="n">
        <v>3</v>
      </c>
      <c r="I1250" s="6" t="n">
        <f aca="false">INDEX(Products!$D$2:$D$9,MATCH(E1250,Products!$A$2:$A$9,0))</f>
        <v>600</v>
      </c>
      <c r="J1250" s="7" t="n">
        <v>0</v>
      </c>
      <c r="K1250" s="8" t="n">
        <f aca="false">H1250*I1250*(1-J1250)</f>
        <v>1800</v>
      </c>
      <c r="L1250" s="6" t="n">
        <f aca="false">H1250*INDEX(Products!$E$2:$E$9,MATCH(E1250,Products!$A$2:$A$9,0))</f>
        <v>1185</v>
      </c>
      <c r="M1250" s="8" t="n">
        <f aca="false">K1250-L1250</f>
        <v>615</v>
      </c>
      <c r="N1250" s="2" t="s">
        <v>28</v>
      </c>
      <c r="O1250" s="2" t="s">
        <v>43</v>
      </c>
    </row>
    <row r="1251" customFormat="false" ht="15" hidden="false" customHeight="false" outlineLevel="0" collapsed="false">
      <c r="A1251" s="2" t="s">
        <v>1305</v>
      </c>
      <c r="B1251" s="3" t="n">
        <v>46171</v>
      </c>
      <c r="C1251" s="2" t="s">
        <v>47</v>
      </c>
      <c r="D1251" s="2" t="s">
        <v>71</v>
      </c>
      <c r="E1251" s="2" t="s">
        <v>61</v>
      </c>
      <c r="F1251" s="4" t="str">
        <f aca="false">INDEX(Products!$B$2:$B$9,MATCH(E1251,Products!$A$2:$A$9,0))</f>
        <v>Install Service</v>
      </c>
      <c r="G1251" s="4" t="str">
        <f aca="false">INDEX(Products!$C$2:$C$9,MATCH(E1251,Products!$A$2:$A$9,0))</f>
        <v>Services</v>
      </c>
      <c r="H1251" s="5" t="n">
        <v>1</v>
      </c>
      <c r="I1251" s="6" t="n">
        <f aca="false">INDEX(Products!$D$2:$D$9,MATCH(E1251,Products!$A$2:$A$9,0))</f>
        <v>450</v>
      </c>
      <c r="J1251" s="7" t="n">
        <v>0.1</v>
      </c>
      <c r="K1251" s="8" t="n">
        <f aca="false">H1251*I1251*(1-J1251)</f>
        <v>405</v>
      </c>
      <c r="L1251" s="6" t="n">
        <f aca="false">H1251*INDEX(Products!$E$2:$E$9,MATCH(E1251,Products!$A$2:$A$9,0))</f>
        <v>310</v>
      </c>
      <c r="M1251" s="8" t="n">
        <f aca="false">K1251-L1251</f>
        <v>95</v>
      </c>
      <c r="N1251" s="2" t="s">
        <v>28</v>
      </c>
      <c r="O1251" s="2" t="s">
        <v>50</v>
      </c>
    </row>
    <row r="1252" customFormat="false" ht="15" hidden="false" customHeight="false" outlineLevel="0" collapsed="false">
      <c r="A1252" s="2" t="s">
        <v>1306</v>
      </c>
      <c r="B1252" s="3" t="n">
        <v>46174</v>
      </c>
      <c r="C1252" s="2" t="s">
        <v>41</v>
      </c>
      <c r="D1252" s="2" t="s">
        <v>42</v>
      </c>
      <c r="E1252" s="2" t="s">
        <v>18</v>
      </c>
      <c r="F1252" s="4" t="str">
        <f aca="false">INDEX(Products!$B$2:$B$9,MATCH(E1252,Products!$A$2:$A$9,0))</f>
        <v>Sensor Hub Pro</v>
      </c>
      <c r="G1252" s="4" t="str">
        <f aca="false">INDEX(Products!$C$2:$C$9,MATCH(E1252,Products!$A$2:$A$9,0))</f>
        <v>Hardware</v>
      </c>
      <c r="H1252" s="5" t="n">
        <v>20</v>
      </c>
      <c r="I1252" s="6" t="n">
        <f aca="false">INDEX(Products!$D$2:$D$9,MATCH(E1252,Products!$A$2:$A$9,0))</f>
        <v>349</v>
      </c>
      <c r="J1252" s="7" t="n">
        <v>0.1</v>
      </c>
      <c r="K1252" s="8" t="n">
        <f aca="false">H1252*I1252*(1-J1252)</f>
        <v>6282</v>
      </c>
      <c r="L1252" s="6" t="n">
        <f aca="false">H1252*INDEX(Products!$E$2:$E$9,MATCH(E1252,Products!$A$2:$A$9,0))</f>
        <v>4020</v>
      </c>
      <c r="M1252" s="8" t="n">
        <f aca="false">K1252-L1252</f>
        <v>2262</v>
      </c>
      <c r="N1252" s="2" t="s">
        <v>38</v>
      </c>
      <c r="O1252" s="2" t="s">
        <v>52</v>
      </c>
    </row>
    <row r="1253" customFormat="false" ht="15" hidden="false" customHeight="false" outlineLevel="0" collapsed="false">
      <c r="A1253" s="2" t="s">
        <v>1307</v>
      </c>
      <c r="B1253" s="3" t="n">
        <v>46174</v>
      </c>
      <c r="C1253" s="2" t="s">
        <v>41</v>
      </c>
      <c r="D1253" s="2" t="s">
        <v>66</v>
      </c>
      <c r="E1253" s="2" t="s">
        <v>23</v>
      </c>
      <c r="F1253" s="4" t="str">
        <f aca="false">INDEX(Products!$B$2:$B$9,MATCH(E1253,Products!$A$2:$A$9,0))</f>
        <v>Sensor Hub S</v>
      </c>
      <c r="G1253" s="4" t="str">
        <f aca="false">INDEX(Products!$C$2:$C$9,MATCH(E1253,Products!$A$2:$A$9,0))</f>
        <v>Hardware</v>
      </c>
      <c r="H1253" s="5" t="n">
        <v>4</v>
      </c>
      <c r="I1253" s="6" t="n">
        <f aca="false">INDEX(Products!$D$2:$D$9,MATCH(E1253,Products!$A$2:$A$9,0))</f>
        <v>189</v>
      </c>
      <c r="J1253" s="7" t="n">
        <v>0.15</v>
      </c>
      <c r="K1253" s="8" t="n">
        <f aca="false">H1253*I1253*(1-J1253)</f>
        <v>642.6</v>
      </c>
      <c r="L1253" s="6" t="n">
        <f aca="false">H1253*INDEX(Products!$E$2:$E$9,MATCH(E1253,Products!$A$2:$A$9,0))</f>
        <v>392</v>
      </c>
      <c r="M1253" s="8" t="n">
        <f aca="false">K1253-L1253</f>
        <v>250.6</v>
      </c>
      <c r="N1253" s="2" t="s">
        <v>19</v>
      </c>
      <c r="O1253" s="2" t="s">
        <v>52</v>
      </c>
    </row>
    <row r="1254" customFormat="false" ht="15" hidden="false" customHeight="false" outlineLevel="0" collapsed="false">
      <c r="A1254" s="2" t="s">
        <v>1308</v>
      </c>
      <c r="B1254" s="3" t="n">
        <v>46174</v>
      </c>
      <c r="C1254" s="2" t="s">
        <v>59</v>
      </c>
      <c r="D1254" s="2" t="s">
        <v>101</v>
      </c>
      <c r="E1254" s="2" t="s">
        <v>26</v>
      </c>
      <c r="F1254" s="4" t="str">
        <f aca="false">INDEX(Products!$B$2:$B$9,MATCH(E1254,Products!$A$2:$A$9,0))</f>
        <v>Analytics Basic</v>
      </c>
      <c r="G1254" s="4" t="str">
        <f aca="false">INDEX(Products!$C$2:$C$9,MATCH(E1254,Products!$A$2:$A$9,0))</f>
        <v>Software</v>
      </c>
      <c r="H1254" s="5" t="n">
        <v>5</v>
      </c>
      <c r="I1254" s="6" t="n">
        <f aca="false">INDEX(Products!$D$2:$D$9,MATCH(E1254,Products!$A$2:$A$9,0))</f>
        <v>120</v>
      </c>
      <c r="J1254" s="7" t="n">
        <v>0.15</v>
      </c>
      <c r="K1254" s="8" t="n">
        <f aca="false">H1254*I1254*(1-J1254)</f>
        <v>510</v>
      </c>
      <c r="L1254" s="6" t="n">
        <f aca="false">H1254*INDEX(Products!$E$2:$E$9,MATCH(E1254,Products!$A$2:$A$9,0))</f>
        <v>90</v>
      </c>
      <c r="M1254" s="8" t="n">
        <f aca="false">K1254-L1254</f>
        <v>420</v>
      </c>
      <c r="N1254" s="2" t="s">
        <v>38</v>
      </c>
      <c r="O1254" s="2" t="s">
        <v>62</v>
      </c>
    </row>
    <row r="1255" customFormat="false" ht="15" hidden="false" customHeight="false" outlineLevel="0" collapsed="false">
      <c r="A1255" s="2" t="s">
        <v>1309</v>
      </c>
      <c r="B1255" s="3" t="n">
        <v>46175</v>
      </c>
      <c r="C1255" s="2" t="s">
        <v>41</v>
      </c>
      <c r="D1255" s="2" t="s">
        <v>42</v>
      </c>
      <c r="E1255" s="2" t="s">
        <v>23</v>
      </c>
      <c r="F1255" s="4" t="str">
        <f aca="false">INDEX(Products!$B$2:$B$9,MATCH(E1255,Products!$A$2:$A$9,0))</f>
        <v>Sensor Hub S</v>
      </c>
      <c r="G1255" s="4" t="str">
        <f aca="false">INDEX(Products!$C$2:$C$9,MATCH(E1255,Products!$A$2:$A$9,0))</f>
        <v>Hardware</v>
      </c>
      <c r="H1255" s="5" t="n">
        <v>3</v>
      </c>
      <c r="I1255" s="6" t="n">
        <f aca="false">INDEX(Products!$D$2:$D$9,MATCH(E1255,Products!$A$2:$A$9,0))</f>
        <v>189</v>
      </c>
      <c r="J1255" s="7" t="n">
        <v>0</v>
      </c>
      <c r="K1255" s="8" t="n">
        <f aca="false">H1255*I1255*(1-J1255)</f>
        <v>567</v>
      </c>
      <c r="L1255" s="6" t="n">
        <f aca="false">H1255*INDEX(Products!$E$2:$E$9,MATCH(E1255,Products!$A$2:$A$9,0))</f>
        <v>294</v>
      </c>
      <c r="M1255" s="8" t="n">
        <f aca="false">K1255-L1255</f>
        <v>273</v>
      </c>
      <c r="N1255" s="2" t="s">
        <v>28</v>
      </c>
      <c r="O1255" s="2" t="s">
        <v>43</v>
      </c>
    </row>
    <row r="1256" customFormat="false" ht="15" hidden="false" customHeight="false" outlineLevel="0" collapsed="false">
      <c r="A1256" s="2" t="s">
        <v>1310</v>
      </c>
      <c r="B1256" s="3" t="n">
        <v>46175</v>
      </c>
      <c r="C1256" s="2" t="s">
        <v>16</v>
      </c>
      <c r="D1256" s="2" t="s">
        <v>17</v>
      </c>
      <c r="E1256" s="2" t="s">
        <v>18</v>
      </c>
      <c r="F1256" s="4" t="str">
        <f aca="false">INDEX(Products!$B$2:$B$9,MATCH(E1256,Products!$A$2:$A$9,0))</f>
        <v>Sensor Hub Pro</v>
      </c>
      <c r="G1256" s="4" t="str">
        <f aca="false">INDEX(Products!$C$2:$C$9,MATCH(E1256,Products!$A$2:$A$9,0))</f>
        <v>Hardware</v>
      </c>
      <c r="H1256" s="5" t="n">
        <v>1</v>
      </c>
      <c r="I1256" s="6" t="n">
        <f aca="false">INDEX(Products!$D$2:$D$9,MATCH(E1256,Products!$A$2:$A$9,0))</f>
        <v>349</v>
      </c>
      <c r="J1256" s="7" t="n">
        <v>0</v>
      </c>
      <c r="K1256" s="8" t="n">
        <f aca="false">H1256*I1256*(1-J1256)</f>
        <v>349</v>
      </c>
      <c r="L1256" s="6" t="n">
        <f aca="false">H1256*INDEX(Products!$E$2:$E$9,MATCH(E1256,Products!$A$2:$A$9,0))</f>
        <v>201</v>
      </c>
      <c r="M1256" s="8" t="n">
        <f aca="false">K1256-L1256</f>
        <v>148</v>
      </c>
      <c r="N1256" s="2" t="s">
        <v>28</v>
      </c>
      <c r="O1256" s="2" t="s">
        <v>20</v>
      </c>
    </row>
    <row r="1257" customFormat="false" ht="15" hidden="false" customHeight="false" outlineLevel="0" collapsed="false">
      <c r="A1257" s="2" t="s">
        <v>1311</v>
      </c>
      <c r="B1257" s="3" t="n">
        <v>46175</v>
      </c>
      <c r="C1257" s="2" t="s">
        <v>47</v>
      </c>
      <c r="D1257" s="2" t="s">
        <v>48</v>
      </c>
      <c r="E1257" s="2" t="s">
        <v>26</v>
      </c>
      <c r="F1257" s="4" t="str">
        <f aca="false">INDEX(Products!$B$2:$B$9,MATCH(E1257,Products!$A$2:$A$9,0))</f>
        <v>Analytics Basic</v>
      </c>
      <c r="G1257" s="4" t="str">
        <f aca="false">INDEX(Products!$C$2:$C$9,MATCH(E1257,Products!$A$2:$A$9,0))</f>
        <v>Software</v>
      </c>
      <c r="H1257" s="5" t="n">
        <v>1</v>
      </c>
      <c r="I1257" s="6" t="n">
        <f aca="false">INDEX(Products!$D$2:$D$9,MATCH(E1257,Products!$A$2:$A$9,0))</f>
        <v>120</v>
      </c>
      <c r="J1257" s="7" t="n">
        <v>0.05</v>
      </c>
      <c r="K1257" s="8" t="n">
        <f aca="false">H1257*I1257*(1-J1257)</f>
        <v>114</v>
      </c>
      <c r="L1257" s="6" t="n">
        <f aca="false">H1257*INDEX(Products!$E$2:$E$9,MATCH(E1257,Products!$A$2:$A$9,0))</f>
        <v>18</v>
      </c>
      <c r="M1257" s="8" t="n">
        <f aca="false">K1257-L1257</f>
        <v>96</v>
      </c>
      <c r="N1257" s="2" t="s">
        <v>38</v>
      </c>
      <c r="O1257" s="2" t="s">
        <v>50</v>
      </c>
    </row>
    <row r="1258" customFormat="false" ht="15" hidden="false" customHeight="false" outlineLevel="0" collapsed="false">
      <c r="A1258" s="2" t="s">
        <v>1312</v>
      </c>
      <c r="B1258" s="3" t="n">
        <v>46176</v>
      </c>
      <c r="C1258" s="2" t="s">
        <v>41</v>
      </c>
      <c r="D1258" s="2" t="s">
        <v>42</v>
      </c>
      <c r="E1258" s="2" t="s">
        <v>26</v>
      </c>
      <c r="F1258" s="4" t="str">
        <f aca="false">INDEX(Products!$B$2:$B$9,MATCH(E1258,Products!$A$2:$A$9,0))</f>
        <v>Analytics Basic</v>
      </c>
      <c r="G1258" s="4" t="str">
        <f aca="false">INDEX(Products!$C$2:$C$9,MATCH(E1258,Products!$A$2:$A$9,0))</f>
        <v>Software</v>
      </c>
      <c r="H1258" s="5" t="n">
        <v>1</v>
      </c>
      <c r="I1258" s="6" t="n">
        <f aca="false">INDEX(Products!$D$2:$D$9,MATCH(E1258,Products!$A$2:$A$9,0))</f>
        <v>120</v>
      </c>
      <c r="J1258" s="7" t="n">
        <v>0.05</v>
      </c>
      <c r="K1258" s="8" t="n">
        <f aca="false">H1258*I1258*(1-J1258)</f>
        <v>114</v>
      </c>
      <c r="L1258" s="6" t="n">
        <f aca="false">H1258*INDEX(Products!$E$2:$E$9,MATCH(E1258,Products!$A$2:$A$9,0))</f>
        <v>18</v>
      </c>
      <c r="M1258" s="8" t="n">
        <f aca="false">K1258-L1258</f>
        <v>96</v>
      </c>
      <c r="N1258" s="2" t="s">
        <v>28</v>
      </c>
      <c r="O1258" s="2" t="s">
        <v>43</v>
      </c>
    </row>
    <row r="1259" customFormat="false" ht="15" hidden="false" customHeight="false" outlineLevel="0" collapsed="false">
      <c r="A1259" s="2" t="s">
        <v>1313</v>
      </c>
      <c r="B1259" s="3" t="n">
        <v>46176</v>
      </c>
      <c r="C1259" s="2" t="s">
        <v>41</v>
      </c>
      <c r="D1259" s="2" t="s">
        <v>42</v>
      </c>
      <c r="E1259" s="2" t="s">
        <v>32</v>
      </c>
      <c r="F1259" s="4" t="str">
        <f aca="false">INDEX(Products!$B$2:$B$9,MATCH(E1259,Products!$A$2:$A$9,0))</f>
        <v>Analytics Plus</v>
      </c>
      <c r="G1259" s="4" t="str">
        <f aca="false">INDEX(Products!$C$2:$C$9,MATCH(E1259,Products!$A$2:$A$9,0))</f>
        <v>Software</v>
      </c>
      <c r="H1259" s="5" t="n">
        <v>5</v>
      </c>
      <c r="I1259" s="6" t="n">
        <f aca="false">INDEX(Products!$D$2:$D$9,MATCH(E1259,Products!$A$2:$A$9,0))</f>
        <v>290</v>
      </c>
      <c r="J1259" s="7" t="n">
        <v>0.1</v>
      </c>
      <c r="K1259" s="8" t="n">
        <f aca="false">H1259*I1259*(1-J1259)</f>
        <v>1305</v>
      </c>
      <c r="L1259" s="6" t="n">
        <f aca="false">H1259*INDEX(Products!$E$2:$E$9,MATCH(E1259,Products!$A$2:$A$9,0))</f>
        <v>205</v>
      </c>
      <c r="M1259" s="8" t="n">
        <f aca="false">K1259-L1259</f>
        <v>1100</v>
      </c>
      <c r="N1259" s="2" t="s">
        <v>28</v>
      </c>
      <c r="O1259" s="2" t="s">
        <v>52</v>
      </c>
    </row>
    <row r="1260" customFormat="false" ht="15" hidden="false" customHeight="false" outlineLevel="0" collapsed="false">
      <c r="A1260" s="2" t="s">
        <v>1314</v>
      </c>
      <c r="B1260" s="3" t="n">
        <v>46177</v>
      </c>
      <c r="C1260" s="2" t="s">
        <v>59</v>
      </c>
      <c r="D1260" s="2" t="s">
        <v>101</v>
      </c>
      <c r="E1260" s="2" t="s">
        <v>32</v>
      </c>
      <c r="F1260" s="4" t="str">
        <f aca="false">INDEX(Products!$B$2:$B$9,MATCH(E1260,Products!$A$2:$A$9,0))</f>
        <v>Analytics Plus</v>
      </c>
      <c r="G1260" s="4" t="str">
        <f aca="false">INDEX(Products!$C$2:$C$9,MATCH(E1260,Products!$A$2:$A$9,0))</f>
        <v>Software</v>
      </c>
      <c r="H1260" s="5" t="n">
        <v>3</v>
      </c>
      <c r="I1260" s="6" t="n">
        <f aca="false">INDEX(Products!$D$2:$D$9,MATCH(E1260,Products!$A$2:$A$9,0))</f>
        <v>290</v>
      </c>
      <c r="J1260" s="7" t="n">
        <v>0</v>
      </c>
      <c r="K1260" s="8" t="n">
        <f aca="false">H1260*I1260*(1-J1260)</f>
        <v>870</v>
      </c>
      <c r="L1260" s="6" t="n">
        <f aca="false">H1260*INDEX(Products!$E$2:$E$9,MATCH(E1260,Products!$A$2:$A$9,0))</f>
        <v>123</v>
      </c>
      <c r="M1260" s="8" t="n">
        <f aca="false">K1260-L1260</f>
        <v>747</v>
      </c>
      <c r="N1260" s="2" t="s">
        <v>38</v>
      </c>
      <c r="O1260" s="2" t="s">
        <v>62</v>
      </c>
    </row>
    <row r="1261" customFormat="false" ht="15" hidden="false" customHeight="false" outlineLevel="0" collapsed="false">
      <c r="A1261" s="2" t="s">
        <v>1315</v>
      </c>
      <c r="B1261" s="3" t="n">
        <v>46177</v>
      </c>
      <c r="C1261" s="2" t="s">
        <v>30</v>
      </c>
      <c r="D1261" s="2" t="s">
        <v>31</v>
      </c>
      <c r="E1261" s="2" t="s">
        <v>26</v>
      </c>
      <c r="F1261" s="4" t="str">
        <f aca="false">INDEX(Products!$B$2:$B$9,MATCH(E1261,Products!$A$2:$A$9,0))</f>
        <v>Analytics Basic</v>
      </c>
      <c r="G1261" s="4" t="str">
        <f aca="false">INDEX(Products!$C$2:$C$9,MATCH(E1261,Products!$A$2:$A$9,0))</f>
        <v>Software</v>
      </c>
      <c r="H1261" s="5" t="n">
        <v>1</v>
      </c>
      <c r="I1261" s="6" t="n">
        <f aca="false">INDEX(Products!$D$2:$D$9,MATCH(E1261,Products!$A$2:$A$9,0))</f>
        <v>120</v>
      </c>
      <c r="J1261" s="7" t="n">
        <v>0.05</v>
      </c>
      <c r="K1261" s="8" t="n">
        <f aca="false">H1261*I1261*(1-J1261)</f>
        <v>114</v>
      </c>
      <c r="L1261" s="6" t="n">
        <f aca="false">H1261*INDEX(Products!$E$2:$E$9,MATCH(E1261,Products!$A$2:$A$9,0))</f>
        <v>18</v>
      </c>
      <c r="M1261" s="8" t="n">
        <f aca="false">K1261-L1261</f>
        <v>96</v>
      </c>
      <c r="N1261" s="2" t="s">
        <v>28</v>
      </c>
      <c r="O1261" s="2" t="s">
        <v>33</v>
      </c>
    </row>
    <row r="1262" customFormat="false" ht="15" hidden="false" customHeight="false" outlineLevel="0" collapsed="false">
      <c r="A1262" s="2" t="s">
        <v>1316</v>
      </c>
      <c r="B1262" s="3" t="n">
        <v>46177</v>
      </c>
      <c r="C1262" s="2" t="s">
        <v>59</v>
      </c>
      <c r="D1262" s="2" t="s">
        <v>101</v>
      </c>
      <c r="E1262" s="2" t="s">
        <v>18</v>
      </c>
      <c r="F1262" s="4" t="str">
        <f aca="false">INDEX(Products!$B$2:$B$9,MATCH(E1262,Products!$A$2:$A$9,0))</f>
        <v>Sensor Hub Pro</v>
      </c>
      <c r="G1262" s="4" t="str">
        <f aca="false">INDEX(Products!$C$2:$C$9,MATCH(E1262,Products!$A$2:$A$9,0))</f>
        <v>Hardware</v>
      </c>
      <c r="H1262" s="5" t="n">
        <v>20</v>
      </c>
      <c r="I1262" s="6" t="n">
        <f aca="false">INDEX(Products!$D$2:$D$9,MATCH(E1262,Products!$A$2:$A$9,0))</f>
        <v>349</v>
      </c>
      <c r="J1262" s="7" t="n">
        <v>0.05</v>
      </c>
      <c r="K1262" s="8" t="n">
        <f aca="false">H1262*I1262*(1-J1262)</f>
        <v>6631</v>
      </c>
      <c r="L1262" s="6" t="n">
        <f aca="false">H1262*INDEX(Products!$E$2:$E$9,MATCH(E1262,Products!$A$2:$A$9,0))</f>
        <v>4020</v>
      </c>
      <c r="M1262" s="8" t="n">
        <f aca="false">K1262-L1262</f>
        <v>2611</v>
      </c>
      <c r="N1262" s="2" t="s">
        <v>28</v>
      </c>
      <c r="O1262" s="2" t="s">
        <v>62</v>
      </c>
    </row>
    <row r="1263" customFormat="false" ht="15" hidden="false" customHeight="false" outlineLevel="0" collapsed="false">
      <c r="A1263" s="2" t="s">
        <v>1317</v>
      </c>
      <c r="B1263" s="3" t="n">
        <v>46177</v>
      </c>
      <c r="C1263" s="2" t="s">
        <v>16</v>
      </c>
      <c r="D1263" s="2" t="s">
        <v>25</v>
      </c>
      <c r="E1263" s="2" t="s">
        <v>18</v>
      </c>
      <c r="F1263" s="4" t="str">
        <f aca="false">INDEX(Products!$B$2:$B$9,MATCH(E1263,Products!$A$2:$A$9,0))</f>
        <v>Sensor Hub Pro</v>
      </c>
      <c r="G1263" s="4" t="str">
        <f aca="false">INDEX(Products!$C$2:$C$9,MATCH(E1263,Products!$A$2:$A$9,0))</f>
        <v>Hardware</v>
      </c>
      <c r="H1263" s="5" t="n">
        <v>2</v>
      </c>
      <c r="I1263" s="6" t="n">
        <f aca="false">INDEX(Products!$D$2:$D$9,MATCH(E1263,Products!$A$2:$A$9,0))</f>
        <v>349</v>
      </c>
      <c r="J1263" s="7" t="n">
        <v>0.1</v>
      </c>
      <c r="K1263" s="8" t="n">
        <f aca="false">H1263*I1263*(1-J1263)</f>
        <v>628.2</v>
      </c>
      <c r="L1263" s="6" t="n">
        <f aca="false">H1263*INDEX(Products!$E$2:$E$9,MATCH(E1263,Products!$A$2:$A$9,0))</f>
        <v>402</v>
      </c>
      <c r="M1263" s="8" t="n">
        <f aca="false">K1263-L1263</f>
        <v>226.2</v>
      </c>
      <c r="N1263" s="2" t="s">
        <v>28</v>
      </c>
      <c r="O1263" s="2" t="s">
        <v>36</v>
      </c>
    </row>
    <row r="1264" customFormat="false" ht="15" hidden="false" customHeight="false" outlineLevel="0" collapsed="false">
      <c r="A1264" s="2" t="s">
        <v>1318</v>
      </c>
      <c r="B1264" s="3" t="n">
        <v>46178</v>
      </c>
      <c r="C1264" s="2" t="s">
        <v>59</v>
      </c>
      <c r="D1264" s="2" t="s">
        <v>91</v>
      </c>
      <c r="E1264" s="2" t="s">
        <v>26</v>
      </c>
      <c r="F1264" s="4" t="str">
        <f aca="false">INDEX(Products!$B$2:$B$9,MATCH(E1264,Products!$A$2:$A$9,0))</f>
        <v>Analytics Basic</v>
      </c>
      <c r="G1264" s="4" t="str">
        <f aca="false">INDEX(Products!$C$2:$C$9,MATCH(E1264,Products!$A$2:$A$9,0))</f>
        <v>Software</v>
      </c>
      <c r="H1264" s="5" t="n">
        <v>1</v>
      </c>
      <c r="I1264" s="6" t="n">
        <f aca="false">INDEX(Products!$D$2:$D$9,MATCH(E1264,Products!$A$2:$A$9,0))</f>
        <v>120</v>
      </c>
      <c r="J1264" s="7" t="n">
        <v>0.05</v>
      </c>
      <c r="K1264" s="8" t="n">
        <f aca="false">H1264*I1264*(1-J1264)</f>
        <v>114</v>
      </c>
      <c r="L1264" s="6" t="n">
        <f aca="false">H1264*INDEX(Products!$E$2:$E$9,MATCH(E1264,Products!$A$2:$A$9,0))</f>
        <v>18</v>
      </c>
      <c r="M1264" s="8" t="n">
        <f aca="false">K1264-L1264</f>
        <v>96</v>
      </c>
      <c r="N1264" s="2" t="s">
        <v>38</v>
      </c>
      <c r="O1264" s="2" t="s">
        <v>62</v>
      </c>
    </row>
    <row r="1265" customFormat="false" ht="15" hidden="false" customHeight="false" outlineLevel="0" collapsed="false">
      <c r="A1265" s="2" t="s">
        <v>1319</v>
      </c>
      <c r="B1265" s="3" t="n">
        <v>46178</v>
      </c>
      <c r="C1265" s="2" t="s">
        <v>47</v>
      </c>
      <c r="D1265" s="2" t="s">
        <v>55</v>
      </c>
      <c r="E1265" s="2" t="s">
        <v>32</v>
      </c>
      <c r="F1265" s="4" t="str">
        <f aca="false">INDEX(Products!$B$2:$B$9,MATCH(E1265,Products!$A$2:$A$9,0))</f>
        <v>Analytics Plus</v>
      </c>
      <c r="G1265" s="4" t="str">
        <f aca="false">INDEX(Products!$C$2:$C$9,MATCH(E1265,Products!$A$2:$A$9,0))</f>
        <v>Software</v>
      </c>
      <c r="H1265" s="5" t="n">
        <v>1</v>
      </c>
      <c r="I1265" s="6" t="n">
        <f aca="false">INDEX(Products!$D$2:$D$9,MATCH(E1265,Products!$A$2:$A$9,0))</f>
        <v>290</v>
      </c>
      <c r="J1265" s="7" t="n">
        <v>0</v>
      </c>
      <c r="K1265" s="8" t="n">
        <f aca="false">H1265*I1265*(1-J1265)</f>
        <v>290</v>
      </c>
      <c r="L1265" s="6" t="n">
        <f aca="false">H1265*INDEX(Products!$E$2:$E$9,MATCH(E1265,Products!$A$2:$A$9,0))</f>
        <v>41</v>
      </c>
      <c r="M1265" s="8" t="n">
        <f aca="false">K1265-L1265</f>
        <v>249</v>
      </c>
      <c r="N1265" s="2" t="s">
        <v>28</v>
      </c>
      <c r="O1265" s="2" t="s">
        <v>50</v>
      </c>
    </row>
    <row r="1266" customFormat="false" ht="15" hidden="false" customHeight="false" outlineLevel="0" collapsed="false">
      <c r="A1266" s="2" t="s">
        <v>1320</v>
      </c>
      <c r="B1266" s="3" t="n">
        <v>46178</v>
      </c>
      <c r="C1266" s="2" t="s">
        <v>30</v>
      </c>
      <c r="D1266" s="2" t="s">
        <v>77</v>
      </c>
      <c r="E1266" s="2" t="s">
        <v>23</v>
      </c>
      <c r="F1266" s="4" t="str">
        <f aca="false">INDEX(Products!$B$2:$B$9,MATCH(E1266,Products!$A$2:$A$9,0))</f>
        <v>Sensor Hub S</v>
      </c>
      <c r="G1266" s="4" t="str">
        <f aca="false">INDEX(Products!$C$2:$C$9,MATCH(E1266,Products!$A$2:$A$9,0))</f>
        <v>Hardware</v>
      </c>
      <c r="H1266" s="5" t="n">
        <v>4</v>
      </c>
      <c r="I1266" s="6" t="n">
        <f aca="false">INDEX(Products!$D$2:$D$9,MATCH(E1266,Products!$A$2:$A$9,0))</f>
        <v>189</v>
      </c>
      <c r="J1266" s="7" t="n">
        <v>0.05</v>
      </c>
      <c r="K1266" s="8" t="n">
        <f aca="false">H1266*I1266*(1-J1266)</f>
        <v>718.2</v>
      </c>
      <c r="L1266" s="6" t="n">
        <f aca="false">H1266*INDEX(Products!$E$2:$E$9,MATCH(E1266,Products!$A$2:$A$9,0))</f>
        <v>392</v>
      </c>
      <c r="M1266" s="8" t="n">
        <f aca="false">K1266-L1266</f>
        <v>326.2</v>
      </c>
      <c r="N1266" s="2" t="s">
        <v>28</v>
      </c>
      <c r="O1266" s="2" t="s">
        <v>64</v>
      </c>
    </row>
    <row r="1267" customFormat="false" ht="15" hidden="false" customHeight="false" outlineLevel="0" collapsed="false">
      <c r="A1267" s="2" t="s">
        <v>1321</v>
      </c>
      <c r="B1267" s="3" t="n">
        <v>46178</v>
      </c>
      <c r="C1267" s="2" t="s">
        <v>16</v>
      </c>
      <c r="D1267" s="2" t="s">
        <v>17</v>
      </c>
      <c r="E1267" s="2" t="s">
        <v>26</v>
      </c>
      <c r="F1267" s="4" t="str">
        <f aca="false">INDEX(Products!$B$2:$B$9,MATCH(E1267,Products!$A$2:$A$9,0))</f>
        <v>Analytics Basic</v>
      </c>
      <c r="G1267" s="4" t="str">
        <f aca="false">INDEX(Products!$C$2:$C$9,MATCH(E1267,Products!$A$2:$A$9,0))</f>
        <v>Software</v>
      </c>
      <c r="H1267" s="5" t="n">
        <v>1</v>
      </c>
      <c r="I1267" s="6" t="n">
        <f aca="false">INDEX(Products!$D$2:$D$9,MATCH(E1267,Products!$A$2:$A$9,0))</f>
        <v>120</v>
      </c>
      <c r="J1267" s="7" t="n">
        <v>0.05</v>
      </c>
      <c r="K1267" s="8" t="n">
        <f aca="false">H1267*I1267*(1-J1267)</f>
        <v>114</v>
      </c>
      <c r="L1267" s="6" t="n">
        <f aca="false">H1267*INDEX(Products!$E$2:$E$9,MATCH(E1267,Products!$A$2:$A$9,0))</f>
        <v>18</v>
      </c>
      <c r="M1267" s="8" t="n">
        <f aca="false">K1267-L1267</f>
        <v>96</v>
      </c>
      <c r="N1267" s="2" t="s">
        <v>28</v>
      </c>
      <c r="O1267" s="2" t="s">
        <v>36</v>
      </c>
    </row>
    <row r="1268" customFormat="false" ht="15" hidden="false" customHeight="false" outlineLevel="0" collapsed="false">
      <c r="A1268" s="2" t="s">
        <v>1322</v>
      </c>
      <c r="B1268" s="3" t="n">
        <v>46178</v>
      </c>
      <c r="C1268" s="2" t="s">
        <v>41</v>
      </c>
      <c r="D1268" s="2" t="s">
        <v>66</v>
      </c>
      <c r="E1268" s="2" t="s">
        <v>18</v>
      </c>
      <c r="F1268" s="4" t="str">
        <f aca="false">INDEX(Products!$B$2:$B$9,MATCH(E1268,Products!$A$2:$A$9,0))</f>
        <v>Sensor Hub Pro</v>
      </c>
      <c r="G1268" s="4" t="str">
        <f aca="false">INDEX(Products!$C$2:$C$9,MATCH(E1268,Products!$A$2:$A$9,0))</f>
        <v>Hardware</v>
      </c>
      <c r="H1268" s="5" t="n">
        <v>8</v>
      </c>
      <c r="I1268" s="6" t="n">
        <f aca="false">INDEX(Products!$D$2:$D$9,MATCH(E1268,Products!$A$2:$A$9,0))</f>
        <v>349</v>
      </c>
      <c r="J1268" s="7" t="n">
        <v>0</v>
      </c>
      <c r="K1268" s="8" t="n">
        <f aca="false">H1268*I1268*(1-J1268)</f>
        <v>2792</v>
      </c>
      <c r="L1268" s="6" t="n">
        <f aca="false">H1268*INDEX(Products!$E$2:$E$9,MATCH(E1268,Products!$A$2:$A$9,0))</f>
        <v>1608</v>
      </c>
      <c r="M1268" s="8" t="n">
        <f aca="false">K1268-L1268</f>
        <v>1184</v>
      </c>
      <c r="N1268" s="2" t="s">
        <v>28</v>
      </c>
      <c r="O1268" s="2" t="s">
        <v>52</v>
      </c>
    </row>
    <row r="1269" customFormat="false" ht="15" hidden="false" customHeight="false" outlineLevel="0" collapsed="false">
      <c r="A1269" s="2" t="s">
        <v>1323</v>
      </c>
      <c r="B1269" s="3" t="n">
        <v>46178</v>
      </c>
      <c r="C1269" s="2" t="s">
        <v>30</v>
      </c>
      <c r="D1269" s="2" t="s">
        <v>128</v>
      </c>
      <c r="E1269" s="2" t="s">
        <v>26</v>
      </c>
      <c r="F1269" s="4" t="str">
        <f aca="false">INDEX(Products!$B$2:$B$9,MATCH(E1269,Products!$A$2:$A$9,0))</f>
        <v>Analytics Basic</v>
      </c>
      <c r="G1269" s="4" t="str">
        <f aca="false">INDEX(Products!$C$2:$C$9,MATCH(E1269,Products!$A$2:$A$9,0))</f>
        <v>Software</v>
      </c>
      <c r="H1269" s="5" t="n">
        <v>1</v>
      </c>
      <c r="I1269" s="6" t="n">
        <f aca="false">INDEX(Products!$D$2:$D$9,MATCH(E1269,Products!$A$2:$A$9,0))</f>
        <v>120</v>
      </c>
      <c r="J1269" s="7" t="n">
        <v>0.05</v>
      </c>
      <c r="K1269" s="8" t="n">
        <f aca="false">H1269*I1269*(1-J1269)</f>
        <v>114</v>
      </c>
      <c r="L1269" s="6" t="n">
        <f aca="false">H1269*INDEX(Products!$E$2:$E$9,MATCH(E1269,Products!$A$2:$A$9,0))</f>
        <v>18</v>
      </c>
      <c r="M1269" s="8" t="n">
        <f aca="false">K1269-L1269</f>
        <v>96</v>
      </c>
      <c r="N1269" s="2" t="s">
        <v>28</v>
      </c>
      <c r="O1269" s="2" t="s">
        <v>33</v>
      </c>
    </row>
    <row r="1270" customFormat="false" ht="15" hidden="false" customHeight="false" outlineLevel="0" collapsed="false">
      <c r="A1270" s="2" t="s">
        <v>1324</v>
      </c>
      <c r="B1270" s="3" t="n">
        <v>46179</v>
      </c>
      <c r="C1270" s="2" t="s">
        <v>47</v>
      </c>
      <c r="D1270" s="2" t="s">
        <v>48</v>
      </c>
      <c r="E1270" s="2" t="s">
        <v>26</v>
      </c>
      <c r="F1270" s="4" t="str">
        <f aca="false">INDEX(Products!$B$2:$B$9,MATCH(E1270,Products!$A$2:$A$9,0))</f>
        <v>Analytics Basic</v>
      </c>
      <c r="G1270" s="4" t="str">
        <f aca="false">INDEX(Products!$C$2:$C$9,MATCH(E1270,Products!$A$2:$A$9,0))</f>
        <v>Software</v>
      </c>
      <c r="H1270" s="5" t="n">
        <v>1</v>
      </c>
      <c r="I1270" s="6" t="n">
        <f aca="false">INDEX(Products!$D$2:$D$9,MATCH(E1270,Products!$A$2:$A$9,0))</f>
        <v>120</v>
      </c>
      <c r="J1270" s="7" t="n">
        <v>0.1</v>
      </c>
      <c r="K1270" s="8" t="n">
        <f aca="false">H1270*I1270*(1-J1270)</f>
        <v>108</v>
      </c>
      <c r="L1270" s="6" t="n">
        <f aca="false">H1270*INDEX(Products!$E$2:$E$9,MATCH(E1270,Products!$A$2:$A$9,0))</f>
        <v>18</v>
      </c>
      <c r="M1270" s="8" t="n">
        <f aca="false">K1270-L1270</f>
        <v>90</v>
      </c>
      <c r="N1270" s="2" t="s">
        <v>38</v>
      </c>
      <c r="O1270" s="2" t="s">
        <v>72</v>
      </c>
    </row>
    <row r="1271" customFormat="false" ht="15" hidden="false" customHeight="false" outlineLevel="0" collapsed="false">
      <c r="A1271" s="2" t="s">
        <v>1325</v>
      </c>
      <c r="B1271" s="3" t="n">
        <v>46181</v>
      </c>
      <c r="C1271" s="2" t="s">
        <v>41</v>
      </c>
      <c r="D1271" s="2" t="s">
        <v>66</v>
      </c>
      <c r="E1271" s="2" t="s">
        <v>49</v>
      </c>
      <c r="F1271" s="4" t="str">
        <f aca="false">INDEX(Products!$B$2:$B$9,MATCH(E1271,Products!$A$2:$A$9,0))</f>
        <v>Mounting Kit</v>
      </c>
      <c r="G1271" s="4" t="str">
        <f aca="false">INDEX(Products!$C$2:$C$9,MATCH(E1271,Products!$A$2:$A$9,0))</f>
        <v>Accessories</v>
      </c>
      <c r="H1271" s="5" t="n">
        <v>2</v>
      </c>
      <c r="I1271" s="6" t="n">
        <f aca="false">INDEX(Products!$D$2:$D$9,MATCH(E1271,Products!$A$2:$A$9,0))</f>
        <v>39</v>
      </c>
      <c r="J1271" s="7" t="n">
        <v>0.15</v>
      </c>
      <c r="K1271" s="8" t="n">
        <f aca="false">H1271*I1271*(1-J1271)</f>
        <v>66.3</v>
      </c>
      <c r="L1271" s="6" t="n">
        <f aca="false">H1271*INDEX(Products!$E$2:$E$9,MATCH(E1271,Products!$A$2:$A$9,0))</f>
        <v>63</v>
      </c>
      <c r="M1271" s="8" t="n">
        <f aca="false">K1271-L1271</f>
        <v>3.3</v>
      </c>
      <c r="N1271" s="2" t="s">
        <v>19</v>
      </c>
      <c r="O1271" s="2" t="s">
        <v>43</v>
      </c>
    </row>
    <row r="1272" customFormat="false" ht="15" hidden="false" customHeight="false" outlineLevel="0" collapsed="false">
      <c r="A1272" s="2" t="s">
        <v>1326</v>
      </c>
      <c r="B1272" s="3" t="n">
        <v>46181</v>
      </c>
      <c r="C1272" s="2" t="s">
        <v>47</v>
      </c>
      <c r="D1272" s="2" t="s">
        <v>71</v>
      </c>
      <c r="E1272" s="2" t="s">
        <v>26</v>
      </c>
      <c r="F1272" s="4" t="str">
        <f aca="false">INDEX(Products!$B$2:$B$9,MATCH(E1272,Products!$A$2:$A$9,0))</f>
        <v>Analytics Basic</v>
      </c>
      <c r="G1272" s="4" t="str">
        <f aca="false">INDEX(Products!$C$2:$C$9,MATCH(E1272,Products!$A$2:$A$9,0))</f>
        <v>Software</v>
      </c>
      <c r="H1272" s="5" t="n">
        <v>5</v>
      </c>
      <c r="I1272" s="6" t="n">
        <f aca="false">INDEX(Products!$D$2:$D$9,MATCH(E1272,Products!$A$2:$A$9,0))</f>
        <v>120</v>
      </c>
      <c r="J1272" s="7" t="n">
        <v>0.1</v>
      </c>
      <c r="K1272" s="8" t="n">
        <f aca="false">H1272*I1272*(1-J1272)</f>
        <v>540</v>
      </c>
      <c r="L1272" s="6" t="n">
        <f aca="false">H1272*INDEX(Products!$E$2:$E$9,MATCH(E1272,Products!$A$2:$A$9,0))</f>
        <v>90</v>
      </c>
      <c r="M1272" s="8" t="n">
        <f aca="false">K1272-L1272</f>
        <v>450</v>
      </c>
      <c r="N1272" s="2" t="s">
        <v>19</v>
      </c>
      <c r="O1272" s="2" t="s">
        <v>50</v>
      </c>
    </row>
    <row r="1273" customFormat="false" ht="15" hidden="false" customHeight="false" outlineLevel="0" collapsed="false">
      <c r="A1273" s="2" t="s">
        <v>1327</v>
      </c>
      <c r="B1273" s="3" t="n">
        <v>46181</v>
      </c>
      <c r="C1273" s="2" t="s">
        <v>16</v>
      </c>
      <c r="D1273" s="2" t="s">
        <v>17</v>
      </c>
      <c r="E1273" s="2" t="s">
        <v>49</v>
      </c>
      <c r="F1273" s="4" t="str">
        <f aca="false">INDEX(Products!$B$2:$B$9,MATCH(E1273,Products!$A$2:$A$9,0))</f>
        <v>Mounting Kit</v>
      </c>
      <c r="G1273" s="4" t="str">
        <f aca="false">INDEX(Products!$C$2:$C$9,MATCH(E1273,Products!$A$2:$A$9,0))</f>
        <v>Accessories</v>
      </c>
      <c r="H1273" s="5" t="n">
        <v>1</v>
      </c>
      <c r="I1273" s="6" t="n">
        <f aca="false">INDEX(Products!$D$2:$D$9,MATCH(E1273,Products!$A$2:$A$9,0))</f>
        <v>39</v>
      </c>
      <c r="J1273" s="7" t="n">
        <v>0</v>
      </c>
      <c r="K1273" s="8" t="n">
        <f aca="false">H1273*I1273*(1-J1273)</f>
        <v>39</v>
      </c>
      <c r="L1273" s="6" t="n">
        <f aca="false">H1273*INDEX(Products!$E$2:$E$9,MATCH(E1273,Products!$A$2:$A$9,0))</f>
        <v>31.5</v>
      </c>
      <c r="M1273" s="8" t="n">
        <f aca="false">K1273-L1273</f>
        <v>7.5</v>
      </c>
      <c r="N1273" s="2" t="s">
        <v>28</v>
      </c>
      <c r="O1273" s="2" t="s">
        <v>36</v>
      </c>
    </row>
    <row r="1274" customFormat="false" ht="15" hidden="false" customHeight="false" outlineLevel="0" collapsed="false">
      <c r="A1274" s="2" t="s">
        <v>1328</v>
      </c>
      <c r="B1274" s="3" t="n">
        <v>46181</v>
      </c>
      <c r="C1274" s="2" t="s">
        <v>16</v>
      </c>
      <c r="D1274" s="2" t="s">
        <v>17</v>
      </c>
      <c r="E1274" s="2" t="s">
        <v>68</v>
      </c>
      <c r="F1274" s="4" t="str">
        <f aca="false">INDEX(Products!$B$2:$B$9,MATCH(E1274,Products!$A$2:$A$9,0))</f>
        <v>Premium Support</v>
      </c>
      <c r="G1274" s="4" t="str">
        <f aca="false">INDEX(Products!$C$2:$C$9,MATCH(E1274,Products!$A$2:$A$9,0))</f>
        <v>Services</v>
      </c>
      <c r="H1274" s="5" t="n">
        <v>2</v>
      </c>
      <c r="I1274" s="6" t="n">
        <f aca="false">INDEX(Products!$D$2:$D$9,MATCH(E1274,Products!$A$2:$A$9,0))</f>
        <v>600</v>
      </c>
      <c r="J1274" s="7" t="n">
        <v>0.1</v>
      </c>
      <c r="K1274" s="8" t="n">
        <f aca="false">H1274*I1274*(1-J1274)</f>
        <v>1080</v>
      </c>
      <c r="L1274" s="6" t="n">
        <f aca="false">H1274*INDEX(Products!$E$2:$E$9,MATCH(E1274,Products!$A$2:$A$9,0))</f>
        <v>790</v>
      </c>
      <c r="M1274" s="8" t="n">
        <f aca="false">K1274-L1274</f>
        <v>290</v>
      </c>
      <c r="N1274" s="2" t="s">
        <v>38</v>
      </c>
      <c r="O1274" s="2" t="s">
        <v>20</v>
      </c>
    </row>
    <row r="1275" customFormat="false" ht="15" hidden="false" customHeight="false" outlineLevel="0" collapsed="false">
      <c r="A1275" s="2" t="s">
        <v>1329</v>
      </c>
      <c r="B1275" s="3" t="n">
        <v>46182</v>
      </c>
      <c r="C1275" s="2" t="s">
        <v>16</v>
      </c>
      <c r="D1275" s="2" t="s">
        <v>22</v>
      </c>
      <c r="E1275" s="2" t="s">
        <v>26</v>
      </c>
      <c r="F1275" s="4" t="str">
        <f aca="false">INDEX(Products!$B$2:$B$9,MATCH(E1275,Products!$A$2:$A$9,0))</f>
        <v>Analytics Basic</v>
      </c>
      <c r="G1275" s="4" t="str">
        <f aca="false">INDEX(Products!$C$2:$C$9,MATCH(E1275,Products!$A$2:$A$9,0))</f>
        <v>Software</v>
      </c>
      <c r="H1275" s="5" t="n">
        <v>3</v>
      </c>
      <c r="I1275" s="6" t="n">
        <f aca="false">INDEX(Products!$D$2:$D$9,MATCH(E1275,Products!$A$2:$A$9,0))</f>
        <v>120</v>
      </c>
      <c r="J1275" s="7" t="n">
        <v>0.05</v>
      </c>
      <c r="K1275" s="8" t="n">
        <f aca="false">H1275*I1275*(1-J1275)</f>
        <v>342</v>
      </c>
      <c r="L1275" s="6" t="n">
        <f aca="false">H1275*INDEX(Products!$E$2:$E$9,MATCH(E1275,Products!$A$2:$A$9,0))</f>
        <v>54</v>
      </c>
      <c r="M1275" s="8" t="n">
        <f aca="false">K1275-L1275</f>
        <v>288</v>
      </c>
      <c r="N1275" s="2" t="s">
        <v>28</v>
      </c>
      <c r="O1275" s="2" t="s">
        <v>36</v>
      </c>
    </row>
    <row r="1276" customFormat="false" ht="15" hidden="false" customHeight="false" outlineLevel="0" collapsed="false">
      <c r="A1276" s="2" t="s">
        <v>1330</v>
      </c>
      <c r="B1276" s="3" t="n">
        <v>46182</v>
      </c>
      <c r="C1276" s="2" t="s">
        <v>16</v>
      </c>
      <c r="D1276" s="2" t="s">
        <v>25</v>
      </c>
      <c r="E1276" s="2" t="s">
        <v>23</v>
      </c>
      <c r="F1276" s="4" t="str">
        <f aca="false">INDEX(Products!$B$2:$B$9,MATCH(E1276,Products!$A$2:$A$9,0))</f>
        <v>Sensor Hub S</v>
      </c>
      <c r="G1276" s="4" t="str">
        <f aca="false">INDEX(Products!$C$2:$C$9,MATCH(E1276,Products!$A$2:$A$9,0))</f>
        <v>Hardware</v>
      </c>
      <c r="H1276" s="5" t="n">
        <v>3</v>
      </c>
      <c r="I1276" s="6" t="n">
        <f aca="false">INDEX(Products!$D$2:$D$9,MATCH(E1276,Products!$A$2:$A$9,0))</f>
        <v>189</v>
      </c>
      <c r="J1276" s="7" t="n">
        <v>0</v>
      </c>
      <c r="K1276" s="8" t="n">
        <f aca="false">H1276*I1276*(1-J1276)</f>
        <v>567</v>
      </c>
      <c r="L1276" s="6" t="n">
        <f aca="false">H1276*INDEX(Products!$E$2:$E$9,MATCH(E1276,Products!$A$2:$A$9,0))</f>
        <v>294</v>
      </c>
      <c r="M1276" s="8" t="n">
        <f aca="false">K1276-L1276</f>
        <v>273</v>
      </c>
      <c r="N1276" s="2" t="s">
        <v>38</v>
      </c>
      <c r="O1276" s="2" t="s">
        <v>36</v>
      </c>
    </row>
    <row r="1277" customFormat="false" ht="15" hidden="false" customHeight="false" outlineLevel="0" collapsed="false">
      <c r="A1277" s="2" t="s">
        <v>1331</v>
      </c>
      <c r="B1277" s="3" t="n">
        <v>46182</v>
      </c>
      <c r="C1277" s="2" t="s">
        <v>47</v>
      </c>
      <c r="D1277" s="2" t="s">
        <v>48</v>
      </c>
      <c r="E1277" s="2" t="s">
        <v>61</v>
      </c>
      <c r="F1277" s="4" t="str">
        <f aca="false">INDEX(Products!$B$2:$B$9,MATCH(E1277,Products!$A$2:$A$9,0))</f>
        <v>Install Service</v>
      </c>
      <c r="G1277" s="4" t="str">
        <f aca="false">INDEX(Products!$C$2:$C$9,MATCH(E1277,Products!$A$2:$A$9,0))</f>
        <v>Services</v>
      </c>
      <c r="H1277" s="5" t="n">
        <v>1</v>
      </c>
      <c r="I1277" s="6" t="n">
        <f aca="false">INDEX(Products!$D$2:$D$9,MATCH(E1277,Products!$A$2:$A$9,0))</f>
        <v>450</v>
      </c>
      <c r="J1277" s="7" t="n">
        <v>0.15</v>
      </c>
      <c r="K1277" s="8" t="n">
        <f aca="false">H1277*I1277*(1-J1277)</f>
        <v>382.5</v>
      </c>
      <c r="L1277" s="6" t="n">
        <f aca="false">H1277*INDEX(Products!$E$2:$E$9,MATCH(E1277,Products!$A$2:$A$9,0))</f>
        <v>310</v>
      </c>
      <c r="M1277" s="8" t="n">
        <f aca="false">K1277-L1277</f>
        <v>72.5</v>
      </c>
      <c r="N1277" s="2" t="s">
        <v>19</v>
      </c>
      <c r="O1277" s="2" t="s">
        <v>72</v>
      </c>
    </row>
    <row r="1278" customFormat="false" ht="15" hidden="false" customHeight="false" outlineLevel="0" collapsed="false">
      <c r="A1278" s="2" t="s">
        <v>1332</v>
      </c>
      <c r="B1278" s="3" t="n">
        <v>46183</v>
      </c>
      <c r="C1278" s="2" t="s">
        <v>59</v>
      </c>
      <c r="D1278" s="2" t="s">
        <v>101</v>
      </c>
      <c r="E1278" s="2" t="s">
        <v>32</v>
      </c>
      <c r="F1278" s="4" t="str">
        <f aca="false">INDEX(Products!$B$2:$B$9,MATCH(E1278,Products!$A$2:$A$9,0))</f>
        <v>Analytics Plus</v>
      </c>
      <c r="G1278" s="4" t="str">
        <f aca="false">INDEX(Products!$C$2:$C$9,MATCH(E1278,Products!$A$2:$A$9,0))</f>
        <v>Software</v>
      </c>
      <c r="H1278" s="5" t="n">
        <v>5</v>
      </c>
      <c r="I1278" s="6" t="n">
        <f aca="false">INDEX(Products!$D$2:$D$9,MATCH(E1278,Products!$A$2:$A$9,0))</f>
        <v>290</v>
      </c>
      <c r="J1278" s="7" t="n">
        <v>0</v>
      </c>
      <c r="K1278" s="8" t="n">
        <f aca="false">H1278*I1278*(1-J1278)</f>
        <v>1450</v>
      </c>
      <c r="L1278" s="6" t="n">
        <f aca="false">H1278*INDEX(Products!$E$2:$E$9,MATCH(E1278,Products!$A$2:$A$9,0))</f>
        <v>205</v>
      </c>
      <c r="M1278" s="8" t="n">
        <f aca="false">K1278-L1278</f>
        <v>1245</v>
      </c>
      <c r="N1278" s="2" t="s">
        <v>28</v>
      </c>
      <c r="O1278" s="2" t="s">
        <v>62</v>
      </c>
    </row>
    <row r="1279" customFormat="false" ht="15" hidden="false" customHeight="false" outlineLevel="0" collapsed="false">
      <c r="A1279" s="2" t="s">
        <v>1333</v>
      </c>
      <c r="B1279" s="3" t="n">
        <v>46183</v>
      </c>
      <c r="C1279" s="2" t="s">
        <v>16</v>
      </c>
      <c r="D1279" s="2" t="s">
        <v>22</v>
      </c>
      <c r="E1279" s="2" t="s">
        <v>49</v>
      </c>
      <c r="F1279" s="4" t="str">
        <f aca="false">INDEX(Products!$B$2:$B$9,MATCH(E1279,Products!$A$2:$A$9,0))</f>
        <v>Mounting Kit</v>
      </c>
      <c r="G1279" s="4" t="str">
        <f aca="false">INDEX(Products!$C$2:$C$9,MATCH(E1279,Products!$A$2:$A$9,0))</f>
        <v>Accessories</v>
      </c>
      <c r="H1279" s="5" t="n">
        <v>2</v>
      </c>
      <c r="I1279" s="6" t="n">
        <f aca="false">INDEX(Products!$D$2:$D$9,MATCH(E1279,Products!$A$2:$A$9,0))</f>
        <v>39</v>
      </c>
      <c r="J1279" s="7" t="n">
        <v>0.05</v>
      </c>
      <c r="K1279" s="8" t="n">
        <f aca="false">H1279*I1279*(1-J1279)</f>
        <v>74.1</v>
      </c>
      <c r="L1279" s="6" t="n">
        <f aca="false">H1279*INDEX(Products!$E$2:$E$9,MATCH(E1279,Products!$A$2:$A$9,0))</f>
        <v>63</v>
      </c>
      <c r="M1279" s="8" t="n">
        <f aca="false">K1279-L1279</f>
        <v>11.1</v>
      </c>
      <c r="N1279" s="2" t="s">
        <v>28</v>
      </c>
      <c r="O1279" s="2" t="s">
        <v>36</v>
      </c>
    </row>
    <row r="1280" customFormat="false" ht="15" hidden="false" customHeight="false" outlineLevel="0" collapsed="false">
      <c r="A1280" s="2" t="s">
        <v>1334</v>
      </c>
      <c r="B1280" s="3" t="n">
        <v>46183</v>
      </c>
      <c r="C1280" s="2" t="s">
        <v>30</v>
      </c>
      <c r="D1280" s="2" t="s">
        <v>31</v>
      </c>
      <c r="E1280" s="2" t="s">
        <v>57</v>
      </c>
      <c r="F1280" s="4" t="str">
        <f aca="false">INDEX(Products!$B$2:$B$9,MATCH(E1280,Products!$A$2:$A$9,0))</f>
        <v>Edge Gateway</v>
      </c>
      <c r="G1280" s="4" t="str">
        <f aca="false">INDEX(Products!$C$2:$C$9,MATCH(E1280,Products!$A$2:$A$9,0))</f>
        <v>Hardware</v>
      </c>
      <c r="H1280" s="5" t="n">
        <v>10</v>
      </c>
      <c r="I1280" s="6" t="n">
        <f aca="false">INDEX(Products!$D$2:$D$9,MATCH(E1280,Products!$A$2:$A$9,0))</f>
        <v>899</v>
      </c>
      <c r="J1280" s="7" t="n">
        <v>0.25</v>
      </c>
      <c r="K1280" s="8" t="n">
        <f aca="false">H1280*I1280*(1-J1280)</f>
        <v>6742.5</v>
      </c>
      <c r="L1280" s="6" t="n">
        <f aca="false">H1280*INDEX(Products!$E$2:$E$9,MATCH(E1280,Products!$A$2:$A$9,0))</f>
        <v>6120</v>
      </c>
      <c r="M1280" s="8" t="n">
        <f aca="false">K1280-L1280</f>
        <v>622.5</v>
      </c>
      <c r="N1280" s="2" t="s">
        <v>28</v>
      </c>
      <c r="O1280" s="2" t="s">
        <v>64</v>
      </c>
    </row>
    <row r="1281" customFormat="false" ht="15" hidden="false" customHeight="false" outlineLevel="0" collapsed="false">
      <c r="A1281" s="2" t="s">
        <v>1335</v>
      </c>
      <c r="B1281" s="3" t="n">
        <v>46183</v>
      </c>
      <c r="C1281" s="2" t="s">
        <v>47</v>
      </c>
      <c r="D1281" s="2" t="s">
        <v>157</v>
      </c>
      <c r="E1281" s="2" t="s">
        <v>26</v>
      </c>
      <c r="F1281" s="4" t="str">
        <f aca="false">INDEX(Products!$B$2:$B$9,MATCH(E1281,Products!$A$2:$A$9,0))</f>
        <v>Analytics Basic</v>
      </c>
      <c r="G1281" s="4" t="str">
        <f aca="false">INDEX(Products!$C$2:$C$9,MATCH(E1281,Products!$A$2:$A$9,0))</f>
        <v>Software</v>
      </c>
      <c r="H1281" s="5" t="n">
        <v>3</v>
      </c>
      <c r="I1281" s="6" t="n">
        <f aca="false">INDEX(Products!$D$2:$D$9,MATCH(E1281,Products!$A$2:$A$9,0))</f>
        <v>120</v>
      </c>
      <c r="J1281" s="7" t="n">
        <v>0</v>
      </c>
      <c r="K1281" s="8" t="n">
        <f aca="false">H1281*I1281*(1-J1281)</f>
        <v>360</v>
      </c>
      <c r="L1281" s="6" t="n">
        <f aca="false">H1281*INDEX(Products!$E$2:$E$9,MATCH(E1281,Products!$A$2:$A$9,0))</f>
        <v>54</v>
      </c>
      <c r="M1281" s="8" t="n">
        <f aca="false">K1281-L1281</f>
        <v>306</v>
      </c>
      <c r="N1281" s="2" t="s">
        <v>28</v>
      </c>
      <c r="O1281" s="2" t="s">
        <v>72</v>
      </c>
    </row>
    <row r="1282" customFormat="false" ht="15" hidden="false" customHeight="false" outlineLevel="0" collapsed="false">
      <c r="A1282" s="2" t="s">
        <v>1336</v>
      </c>
      <c r="B1282" s="3" t="n">
        <v>46184</v>
      </c>
      <c r="C1282" s="2" t="s">
        <v>47</v>
      </c>
      <c r="D1282" s="2" t="s">
        <v>55</v>
      </c>
      <c r="E1282" s="2" t="s">
        <v>26</v>
      </c>
      <c r="F1282" s="4" t="str">
        <f aca="false">INDEX(Products!$B$2:$B$9,MATCH(E1282,Products!$A$2:$A$9,0))</f>
        <v>Analytics Basic</v>
      </c>
      <c r="G1282" s="4" t="str">
        <f aca="false">INDEX(Products!$C$2:$C$9,MATCH(E1282,Products!$A$2:$A$9,0))</f>
        <v>Software</v>
      </c>
      <c r="H1282" s="5" t="n">
        <v>1</v>
      </c>
      <c r="I1282" s="6" t="n">
        <f aca="false">INDEX(Products!$D$2:$D$9,MATCH(E1282,Products!$A$2:$A$9,0))</f>
        <v>120</v>
      </c>
      <c r="J1282" s="7" t="n">
        <v>0</v>
      </c>
      <c r="K1282" s="8" t="n">
        <f aca="false">H1282*I1282*(1-J1282)</f>
        <v>120</v>
      </c>
      <c r="L1282" s="6" t="n">
        <f aca="false">H1282*INDEX(Products!$E$2:$E$9,MATCH(E1282,Products!$A$2:$A$9,0))</f>
        <v>18</v>
      </c>
      <c r="M1282" s="8" t="n">
        <f aca="false">K1282-L1282</f>
        <v>102</v>
      </c>
      <c r="N1282" s="2" t="s">
        <v>38</v>
      </c>
      <c r="O1282" s="2" t="s">
        <v>72</v>
      </c>
    </row>
    <row r="1283" customFormat="false" ht="15" hidden="false" customHeight="false" outlineLevel="0" collapsed="false">
      <c r="A1283" s="2" t="s">
        <v>1337</v>
      </c>
      <c r="B1283" s="3" t="n">
        <v>46184</v>
      </c>
      <c r="C1283" s="2" t="s">
        <v>16</v>
      </c>
      <c r="D1283" s="2" t="s">
        <v>17</v>
      </c>
      <c r="E1283" s="2" t="s">
        <v>61</v>
      </c>
      <c r="F1283" s="4" t="str">
        <f aca="false">INDEX(Products!$B$2:$B$9,MATCH(E1283,Products!$A$2:$A$9,0))</f>
        <v>Install Service</v>
      </c>
      <c r="G1283" s="4" t="str">
        <f aca="false">INDEX(Products!$C$2:$C$9,MATCH(E1283,Products!$A$2:$A$9,0))</f>
        <v>Services</v>
      </c>
      <c r="H1283" s="5" t="n">
        <v>1</v>
      </c>
      <c r="I1283" s="6" t="n">
        <f aca="false">INDEX(Products!$D$2:$D$9,MATCH(E1283,Products!$A$2:$A$9,0))</f>
        <v>450</v>
      </c>
      <c r="J1283" s="7" t="n">
        <v>0</v>
      </c>
      <c r="K1283" s="8" t="n">
        <f aca="false">H1283*I1283*(1-J1283)</f>
        <v>450</v>
      </c>
      <c r="L1283" s="6" t="n">
        <f aca="false">H1283*INDEX(Products!$E$2:$E$9,MATCH(E1283,Products!$A$2:$A$9,0))</f>
        <v>310</v>
      </c>
      <c r="M1283" s="8" t="n">
        <f aca="false">K1283-L1283</f>
        <v>140</v>
      </c>
      <c r="N1283" s="2" t="s">
        <v>28</v>
      </c>
      <c r="O1283" s="2" t="s">
        <v>20</v>
      </c>
    </row>
    <row r="1284" customFormat="false" ht="15" hidden="false" customHeight="false" outlineLevel="0" collapsed="false">
      <c r="A1284" s="2" t="s">
        <v>1338</v>
      </c>
      <c r="B1284" s="3" t="n">
        <v>46184</v>
      </c>
      <c r="C1284" s="2" t="s">
        <v>16</v>
      </c>
      <c r="D1284" s="2" t="s">
        <v>17</v>
      </c>
      <c r="E1284" s="2" t="s">
        <v>49</v>
      </c>
      <c r="F1284" s="4" t="str">
        <f aca="false">INDEX(Products!$B$2:$B$9,MATCH(E1284,Products!$A$2:$A$9,0))</f>
        <v>Mounting Kit</v>
      </c>
      <c r="G1284" s="4" t="str">
        <f aca="false">INDEX(Products!$C$2:$C$9,MATCH(E1284,Products!$A$2:$A$9,0))</f>
        <v>Accessories</v>
      </c>
      <c r="H1284" s="5" t="n">
        <v>4</v>
      </c>
      <c r="I1284" s="6" t="n">
        <f aca="false">INDEX(Products!$D$2:$D$9,MATCH(E1284,Products!$A$2:$A$9,0))</f>
        <v>39</v>
      </c>
      <c r="J1284" s="7" t="n">
        <v>0</v>
      </c>
      <c r="K1284" s="8" t="n">
        <f aca="false">H1284*I1284*(1-J1284)</f>
        <v>156</v>
      </c>
      <c r="L1284" s="6" t="n">
        <f aca="false">H1284*INDEX(Products!$E$2:$E$9,MATCH(E1284,Products!$A$2:$A$9,0))</f>
        <v>126</v>
      </c>
      <c r="M1284" s="8" t="n">
        <f aca="false">K1284-L1284</f>
        <v>30</v>
      </c>
      <c r="N1284" s="2" t="s">
        <v>28</v>
      </c>
      <c r="O1284" s="2" t="s">
        <v>36</v>
      </c>
    </row>
    <row r="1285" customFormat="false" ht="15" hidden="false" customHeight="false" outlineLevel="0" collapsed="false">
      <c r="A1285" s="2" t="s">
        <v>1339</v>
      </c>
      <c r="B1285" s="3" t="n">
        <v>46185</v>
      </c>
      <c r="C1285" s="2" t="s">
        <v>41</v>
      </c>
      <c r="D1285" s="2" t="s">
        <v>66</v>
      </c>
      <c r="E1285" s="2" t="s">
        <v>61</v>
      </c>
      <c r="F1285" s="4" t="str">
        <f aca="false">INDEX(Products!$B$2:$B$9,MATCH(E1285,Products!$A$2:$A$9,0))</f>
        <v>Install Service</v>
      </c>
      <c r="G1285" s="4" t="str">
        <f aca="false">INDEX(Products!$C$2:$C$9,MATCH(E1285,Products!$A$2:$A$9,0))</f>
        <v>Services</v>
      </c>
      <c r="H1285" s="5" t="n">
        <v>1</v>
      </c>
      <c r="I1285" s="6" t="n">
        <f aca="false">INDEX(Products!$D$2:$D$9,MATCH(E1285,Products!$A$2:$A$9,0))</f>
        <v>450</v>
      </c>
      <c r="J1285" s="7" t="n">
        <v>0.1</v>
      </c>
      <c r="K1285" s="8" t="n">
        <f aca="false">H1285*I1285*(1-J1285)</f>
        <v>405</v>
      </c>
      <c r="L1285" s="6" t="n">
        <f aca="false">H1285*INDEX(Products!$E$2:$E$9,MATCH(E1285,Products!$A$2:$A$9,0))</f>
        <v>310</v>
      </c>
      <c r="M1285" s="8" t="n">
        <f aca="false">K1285-L1285</f>
        <v>95</v>
      </c>
      <c r="N1285" s="2" t="s">
        <v>28</v>
      </c>
      <c r="O1285" s="2" t="s">
        <v>52</v>
      </c>
    </row>
    <row r="1286" customFormat="false" ht="15" hidden="false" customHeight="false" outlineLevel="0" collapsed="false">
      <c r="A1286" s="2" t="s">
        <v>1340</v>
      </c>
      <c r="B1286" s="3" t="n">
        <v>46185</v>
      </c>
      <c r="C1286" s="2" t="s">
        <v>16</v>
      </c>
      <c r="D1286" s="2" t="s">
        <v>22</v>
      </c>
      <c r="E1286" s="2" t="s">
        <v>18</v>
      </c>
      <c r="F1286" s="4" t="str">
        <f aca="false">INDEX(Products!$B$2:$B$9,MATCH(E1286,Products!$A$2:$A$9,0))</f>
        <v>Sensor Hub Pro</v>
      </c>
      <c r="G1286" s="4" t="str">
        <f aca="false">INDEX(Products!$C$2:$C$9,MATCH(E1286,Products!$A$2:$A$9,0))</f>
        <v>Hardware</v>
      </c>
      <c r="H1286" s="5" t="n">
        <v>12</v>
      </c>
      <c r="I1286" s="6" t="n">
        <f aca="false">INDEX(Products!$D$2:$D$9,MATCH(E1286,Products!$A$2:$A$9,0))</f>
        <v>349</v>
      </c>
      <c r="J1286" s="7" t="n">
        <v>0</v>
      </c>
      <c r="K1286" s="8" t="n">
        <f aca="false">H1286*I1286*(1-J1286)</f>
        <v>4188</v>
      </c>
      <c r="L1286" s="6" t="n">
        <f aca="false">H1286*INDEX(Products!$E$2:$E$9,MATCH(E1286,Products!$A$2:$A$9,0))</f>
        <v>2412</v>
      </c>
      <c r="M1286" s="8" t="n">
        <f aca="false">K1286-L1286</f>
        <v>1776</v>
      </c>
      <c r="N1286" s="2" t="s">
        <v>28</v>
      </c>
      <c r="O1286" s="2" t="s">
        <v>36</v>
      </c>
    </row>
    <row r="1287" customFormat="false" ht="15" hidden="false" customHeight="false" outlineLevel="0" collapsed="false">
      <c r="A1287" s="2" t="s">
        <v>1341</v>
      </c>
      <c r="B1287" s="3" t="n">
        <v>46185</v>
      </c>
      <c r="C1287" s="2" t="s">
        <v>16</v>
      </c>
      <c r="D1287" s="2" t="s">
        <v>25</v>
      </c>
      <c r="E1287" s="2" t="s">
        <v>49</v>
      </c>
      <c r="F1287" s="4" t="str">
        <f aca="false">INDEX(Products!$B$2:$B$9,MATCH(E1287,Products!$A$2:$A$9,0))</f>
        <v>Mounting Kit</v>
      </c>
      <c r="G1287" s="4" t="str">
        <f aca="false">INDEX(Products!$C$2:$C$9,MATCH(E1287,Products!$A$2:$A$9,0))</f>
        <v>Accessories</v>
      </c>
      <c r="H1287" s="5" t="n">
        <v>20</v>
      </c>
      <c r="I1287" s="6" t="n">
        <f aca="false">INDEX(Products!$D$2:$D$9,MATCH(E1287,Products!$A$2:$A$9,0))</f>
        <v>39</v>
      </c>
      <c r="J1287" s="7" t="n">
        <v>0.1</v>
      </c>
      <c r="K1287" s="8" t="n">
        <f aca="false">H1287*I1287*(1-J1287)</f>
        <v>702</v>
      </c>
      <c r="L1287" s="6" t="n">
        <f aca="false">H1287*INDEX(Products!$E$2:$E$9,MATCH(E1287,Products!$A$2:$A$9,0))</f>
        <v>630</v>
      </c>
      <c r="M1287" s="8" t="n">
        <f aca="false">K1287-L1287</f>
        <v>72</v>
      </c>
      <c r="N1287" s="2" t="s">
        <v>19</v>
      </c>
      <c r="O1287" s="2" t="s">
        <v>36</v>
      </c>
    </row>
    <row r="1288" customFormat="false" ht="15" hidden="false" customHeight="false" outlineLevel="0" collapsed="false">
      <c r="A1288" s="2" t="s">
        <v>1342</v>
      </c>
      <c r="B1288" s="3" t="n">
        <v>46185</v>
      </c>
      <c r="C1288" s="2" t="s">
        <v>16</v>
      </c>
      <c r="D1288" s="2" t="s">
        <v>22</v>
      </c>
      <c r="E1288" s="2" t="s">
        <v>26</v>
      </c>
      <c r="F1288" s="4" t="str">
        <f aca="false">INDEX(Products!$B$2:$B$9,MATCH(E1288,Products!$A$2:$A$9,0))</f>
        <v>Analytics Basic</v>
      </c>
      <c r="G1288" s="4" t="str">
        <f aca="false">INDEX(Products!$C$2:$C$9,MATCH(E1288,Products!$A$2:$A$9,0))</f>
        <v>Software</v>
      </c>
      <c r="H1288" s="5" t="n">
        <v>1</v>
      </c>
      <c r="I1288" s="6" t="n">
        <f aca="false">INDEX(Products!$D$2:$D$9,MATCH(E1288,Products!$A$2:$A$9,0))</f>
        <v>120</v>
      </c>
      <c r="J1288" s="7" t="n">
        <v>0.05</v>
      </c>
      <c r="K1288" s="8" t="n">
        <f aca="false">H1288*I1288*(1-J1288)</f>
        <v>114</v>
      </c>
      <c r="L1288" s="6" t="n">
        <f aca="false">H1288*INDEX(Products!$E$2:$E$9,MATCH(E1288,Products!$A$2:$A$9,0))</f>
        <v>18</v>
      </c>
      <c r="M1288" s="8" t="n">
        <f aca="false">K1288-L1288</f>
        <v>96</v>
      </c>
      <c r="N1288" s="2" t="s">
        <v>28</v>
      </c>
      <c r="O1288" s="2" t="s">
        <v>36</v>
      </c>
    </row>
    <row r="1289" customFormat="false" ht="15" hidden="false" customHeight="false" outlineLevel="0" collapsed="false">
      <c r="A1289" s="2" t="s">
        <v>1343</v>
      </c>
      <c r="B1289" s="3" t="n">
        <v>46187</v>
      </c>
      <c r="C1289" s="2" t="s">
        <v>30</v>
      </c>
      <c r="D1289" s="2" t="s">
        <v>77</v>
      </c>
      <c r="E1289" s="2" t="s">
        <v>68</v>
      </c>
      <c r="F1289" s="4" t="str">
        <f aca="false">INDEX(Products!$B$2:$B$9,MATCH(E1289,Products!$A$2:$A$9,0))</f>
        <v>Premium Support</v>
      </c>
      <c r="G1289" s="4" t="str">
        <f aca="false">INDEX(Products!$C$2:$C$9,MATCH(E1289,Products!$A$2:$A$9,0))</f>
        <v>Services</v>
      </c>
      <c r="H1289" s="5" t="n">
        <v>3</v>
      </c>
      <c r="I1289" s="6" t="n">
        <f aca="false">INDEX(Products!$D$2:$D$9,MATCH(E1289,Products!$A$2:$A$9,0))</f>
        <v>600</v>
      </c>
      <c r="J1289" s="7" t="n">
        <v>0</v>
      </c>
      <c r="K1289" s="8" t="n">
        <f aca="false">H1289*I1289*(1-J1289)</f>
        <v>1800</v>
      </c>
      <c r="L1289" s="6" t="n">
        <f aca="false">H1289*INDEX(Products!$E$2:$E$9,MATCH(E1289,Products!$A$2:$A$9,0))</f>
        <v>1185</v>
      </c>
      <c r="M1289" s="8" t="n">
        <f aca="false">K1289-L1289</f>
        <v>615</v>
      </c>
      <c r="N1289" s="2" t="s">
        <v>38</v>
      </c>
      <c r="O1289" s="2" t="s">
        <v>64</v>
      </c>
    </row>
    <row r="1290" customFormat="false" ht="15" hidden="false" customHeight="false" outlineLevel="0" collapsed="false">
      <c r="A1290" s="2" t="s">
        <v>1344</v>
      </c>
      <c r="B1290" s="3" t="n">
        <v>46188</v>
      </c>
      <c r="C1290" s="2" t="s">
        <v>47</v>
      </c>
      <c r="D1290" s="2" t="s">
        <v>157</v>
      </c>
      <c r="E1290" s="2" t="s">
        <v>49</v>
      </c>
      <c r="F1290" s="4" t="str">
        <f aca="false">INDEX(Products!$B$2:$B$9,MATCH(E1290,Products!$A$2:$A$9,0))</f>
        <v>Mounting Kit</v>
      </c>
      <c r="G1290" s="4" t="str">
        <f aca="false">INDEX(Products!$C$2:$C$9,MATCH(E1290,Products!$A$2:$A$9,0))</f>
        <v>Accessories</v>
      </c>
      <c r="H1290" s="5" t="n">
        <v>10</v>
      </c>
      <c r="I1290" s="6" t="n">
        <f aca="false">INDEX(Products!$D$2:$D$9,MATCH(E1290,Products!$A$2:$A$9,0))</f>
        <v>39</v>
      </c>
      <c r="J1290" s="7" t="n">
        <v>0.1</v>
      </c>
      <c r="K1290" s="8" t="n">
        <f aca="false">H1290*I1290*(1-J1290)</f>
        <v>351</v>
      </c>
      <c r="L1290" s="6" t="n">
        <f aca="false">H1290*INDEX(Products!$E$2:$E$9,MATCH(E1290,Products!$A$2:$A$9,0))</f>
        <v>315</v>
      </c>
      <c r="M1290" s="8" t="n">
        <f aca="false">K1290-L1290</f>
        <v>36</v>
      </c>
      <c r="N1290" s="2" t="s">
        <v>19</v>
      </c>
      <c r="O1290" s="2" t="s">
        <v>72</v>
      </c>
    </row>
    <row r="1291" customFormat="false" ht="15" hidden="false" customHeight="false" outlineLevel="0" collapsed="false">
      <c r="A1291" s="2" t="s">
        <v>1345</v>
      </c>
      <c r="B1291" s="3" t="n">
        <v>46188</v>
      </c>
      <c r="C1291" s="2" t="s">
        <v>16</v>
      </c>
      <c r="D1291" s="2" t="s">
        <v>22</v>
      </c>
      <c r="E1291" s="2" t="s">
        <v>49</v>
      </c>
      <c r="F1291" s="4" t="str">
        <f aca="false">INDEX(Products!$B$2:$B$9,MATCH(E1291,Products!$A$2:$A$9,0))</f>
        <v>Mounting Kit</v>
      </c>
      <c r="G1291" s="4" t="str">
        <f aca="false">INDEX(Products!$C$2:$C$9,MATCH(E1291,Products!$A$2:$A$9,0))</f>
        <v>Accessories</v>
      </c>
      <c r="H1291" s="5" t="n">
        <v>1</v>
      </c>
      <c r="I1291" s="6" t="n">
        <f aca="false">INDEX(Products!$D$2:$D$9,MATCH(E1291,Products!$A$2:$A$9,0))</f>
        <v>39</v>
      </c>
      <c r="J1291" s="7" t="n">
        <v>0.2</v>
      </c>
      <c r="K1291" s="8" t="n">
        <f aca="false">H1291*I1291*(1-J1291)</f>
        <v>31.2</v>
      </c>
      <c r="L1291" s="6" t="n">
        <f aca="false">H1291*INDEX(Products!$E$2:$E$9,MATCH(E1291,Products!$A$2:$A$9,0))</f>
        <v>31.5</v>
      </c>
      <c r="M1291" s="8" t="n">
        <f aca="false">K1291-L1291</f>
        <v>-0.299999999999997</v>
      </c>
      <c r="N1291" s="2" t="s">
        <v>19</v>
      </c>
      <c r="O1291" s="2" t="s">
        <v>20</v>
      </c>
    </row>
    <row r="1292" customFormat="false" ht="15" hidden="false" customHeight="false" outlineLevel="0" collapsed="false">
      <c r="A1292" s="2" t="s">
        <v>1346</v>
      </c>
      <c r="B1292" s="3" t="n">
        <v>46188</v>
      </c>
      <c r="C1292" s="2" t="s">
        <v>47</v>
      </c>
      <c r="D1292" s="2" t="s">
        <v>71</v>
      </c>
      <c r="E1292" s="2" t="s">
        <v>26</v>
      </c>
      <c r="F1292" s="4" t="str">
        <f aca="false">INDEX(Products!$B$2:$B$9,MATCH(E1292,Products!$A$2:$A$9,0))</f>
        <v>Analytics Basic</v>
      </c>
      <c r="G1292" s="4" t="str">
        <f aca="false">INDEX(Products!$C$2:$C$9,MATCH(E1292,Products!$A$2:$A$9,0))</f>
        <v>Software</v>
      </c>
      <c r="H1292" s="5" t="n">
        <v>3</v>
      </c>
      <c r="I1292" s="6" t="n">
        <f aca="false">INDEX(Products!$D$2:$D$9,MATCH(E1292,Products!$A$2:$A$9,0))</f>
        <v>120</v>
      </c>
      <c r="J1292" s="7" t="n">
        <v>0</v>
      </c>
      <c r="K1292" s="8" t="n">
        <f aca="false">H1292*I1292*(1-J1292)</f>
        <v>360</v>
      </c>
      <c r="L1292" s="6" t="n">
        <f aca="false">H1292*INDEX(Products!$E$2:$E$9,MATCH(E1292,Products!$A$2:$A$9,0))</f>
        <v>54</v>
      </c>
      <c r="M1292" s="8" t="n">
        <f aca="false">K1292-L1292</f>
        <v>306</v>
      </c>
      <c r="N1292" s="2" t="s">
        <v>38</v>
      </c>
      <c r="O1292" s="2" t="s">
        <v>50</v>
      </c>
    </row>
    <row r="1293" customFormat="false" ht="15" hidden="false" customHeight="false" outlineLevel="0" collapsed="false">
      <c r="A1293" s="2" t="s">
        <v>1347</v>
      </c>
      <c r="B1293" s="3" t="n">
        <v>46188</v>
      </c>
      <c r="C1293" s="2" t="s">
        <v>41</v>
      </c>
      <c r="D1293" s="2" t="s">
        <v>42</v>
      </c>
      <c r="E1293" s="2" t="s">
        <v>57</v>
      </c>
      <c r="F1293" s="4" t="str">
        <f aca="false">INDEX(Products!$B$2:$B$9,MATCH(E1293,Products!$A$2:$A$9,0))</f>
        <v>Edge Gateway</v>
      </c>
      <c r="G1293" s="4" t="str">
        <f aca="false">INDEX(Products!$C$2:$C$9,MATCH(E1293,Products!$A$2:$A$9,0))</f>
        <v>Hardware</v>
      </c>
      <c r="H1293" s="5" t="n">
        <v>12</v>
      </c>
      <c r="I1293" s="6" t="n">
        <f aca="false">INDEX(Products!$D$2:$D$9,MATCH(E1293,Products!$A$2:$A$9,0))</f>
        <v>899</v>
      </c>
      <c r="J1293" s="7" t="n">
        <v>0</v>
      </c>
      <c r="K1293" s="8" t="n">
        <f aca="false">H1293*I1293*(1-J1293)</f>
        <v>10788</v>
      </c>
      <c r="L1293" s="6" t="n">
        <f aca="false">H1293*INDEX(Products!$E$2:$E$9,MATCH(E1293,Products!$A$2:$A$9,0))</f>
        <v>7344</v>
      </c>
      <c r="M1293" s="8" t="n">
        <f aca="false">K1293-L1293</f>
        <v>3444</v>
      </c>
      <c r="N1293" s="2" t="s">
        <v>28</v>
      </c>
      <c r="O1293" s="2" t="s">
        <v>43</v>
      </c>
    </row>
    <row r="1294" customFormat="false" ht="15" hidden="false" customHeight="false" outlineLevel="0" collapsed="false">
      <c r="A1294" s="2" t="s">
        <v>1348</v>
      </c>
      <c r="B1294" s="3" t="n">
        <v>46189</v>
      </c>
      <c r="C1294" s="2" t="s">
        <v>41</v>
      </c>
      <c r="D1294" s="2" t="s">
        <v>66</v>
      </c>
      <c r="E1294" s="2" t="s">
        <v>32</v>
      </c>
      <c r="F1294" s="4" t="str">
        <f aca="false">INDEX(Products!$B$2:$B$9,MATCH(E1294,Products!$A$2:$A$9,0))</f>
        <v>Analytics Plus</v>
      </c>
      <c r="G1294" s="4" t="str">
        <f aca="false">INDEX(Products!$C$2:$C$9,MATCH(E1294,Products!$A$2:$A$9,0))</f>
        <v>Software</v>
      </c>
      <c r="H1294" s="5" t="n">
        <v>1</v>
      </c>
      <c r="I1294" s="6" t="n">
        <f aca="false">INDEX(Products!$D$2:$D$9,MATCH(E1294,Products!$A$2:$A$9,0))</f>
        <v>290</v>
      </c>
      <c r="J1294" s="7" t="n">
        <v>0.15</v>
      </c>
      <c r="K1294" s="8" t="n">
        <f aca="false">H1294*I1294*(1-J1294)</f>
        <v>246.5</v>
      </c>
      <c r="L1294" s="6" t="n">
        <f aca="false">H1294*INDEX(Products!$E$2:$E$9,MATCH(E1294,Products!$A$2:$A$9,0))</f>
        <v>41</v>
      </c>
      <c r="M1294" s="8" t="n">
        <f aca="false">K1294-L1294</f>
        <v>205.5</v>
      </c>
      <c r="N1294" s="2" t="s">
        <v>38</v>
      </c>
      <c r="O1294" s="2" t="s">
        <v>52</v>
      </c>
    </row>
    <row r="1295" customFormat="false" ht="15" hidden="false" customHeight="false" outlineLevel="0" collapsed="false">
      <c r="A1295" s="2" t="s">
        <v>1349</v>
      </c>
      <c r="B1295" s="3" t="n">
        <v>46189</v>
      </c>
      <c r="C1295" s="2" t="s">
        <v>47</v>
      </c>
      <c r="D1295" s="2" t="s">
        <v>48</v>
      </c>
      <c r="E1295" s="2" t="s">
        <v>18</v>
      </c>
      <c r="F1295" s="4" t="str">
        <f aca="false">INDEX(Products!$B$2:$B$9,MATCH(E1295,Products!$A$2:$A$9,0))</f>
        <v>Sensor Hub Pro</v>
      </c>
      <c r="G1295" s="4" t="str">
        <f aca="false">INDEX(Products!$C$2:$C$9,MATCH(E1295,Products!$A$2:$A$9,0))</f>
        <v>Hardware</v>
      </c>
      <c r="H1295" s="5" t="n">
        <v>3</v>
      </c>
      <c r="I1295" s="6" t="n">
        <f aca="false">INDEX(Products!$D$2:$D$9,MATCH(E1295,Products!$A$2:$A$9,0))</f>
        <v>349</v>
      </c>
      <c r="J1295" s="7" t="n">
        <v>0.1</v>
      </c>
      <c r="K1295" s="8" t="n">
        <f aca="false">H1295*I1295*(1-J1295)</f>
        <v>942.3</v>
      </c>
      <c r="L1295" s="6" t="n">
        <f aca="false">H1295*INDEX(Products!$E$2:$E$9,MATCH(E1295,Products!$A$2:$A$9,0))</f>
        <v>603</v>
      </c>
      <c r="M1295" s="8" t="n">
        <f aca="false">K1295-L1295</f>
        <v>339.3</v>
      </c>
      <c r="N1295" s="2" t="s">
        <v>19</v>
      </c>
      <c r="O1295" s="2" t="s">
        <v>72</v>
      </c>
    </row>
    <row r="1296" customFormat="false" ht="15" hidden="false" customHeight="false" outlineLevel="0" collapsed="false">
      <c r="A1296" s="2" t="s">
        <v>1350</v>
      </c>
      <c r="B1296" s="3" t="n">
        <v>46189</v>
      </c>
      <c r="C1296" s="2" t="s">
        <v>47</v>
      </c>
      <c r="D1296" s="2" t="s">
        <v>48</v>
      </c>
      <c r="E1296" s="2" t="s">
        <v>18</v>
      </c>
      <c r="F1296" s="4" t="str">
        <f aca="false">INDEX(Products!$B$2:$B$9,MATCH(E1296,Products!$A$2:$A$9,0))</f>
        <v>Sensor Hub Pro</v>
      </c>
      <c r="G1296" s="4" t="str">
        <f aca="false">INDEX(Products!$C$2:$C$9,MATCH(E1296,Products!$A$2:$A$9,0))</f>
        <v>Hardware</v>
      </c>
      <c r="H1296" s="5" t="n">
        <v>20</v>
      </c>
      <c r="I1296" s="6" t="n">
        <f aca="false">INDEX(Products!$D$2:$D$9,MATCH(E1296,Products!$A$2:$A$9,0))</f>
        <v>349</v>
      </c>
      <c r="J1296" s="7" t="n">
        <v>0</v>
      </c>
      <c r="K1296" s="8" t="n">
        <f aca="false">H1296*I1296*(1-J1296)</f>
        <v>6980</v>
      </c>
      <c r="L1296" s="6" t="n">
        <f aca="false">H1296*INDEX(Products!$E$2:$E$9,MATCH(E1296,Products!$A$2:$A$9,0))</f>
        <v>4020</v>
      </c>
      <c r="M1296" s="8" t="n">
        <f aca="false">K1296-L1296</f>
        <v>2960</v>
      </c>
      <c r="N1296" s="2" t="s">
        <v>28</v>
      </c>
      <c r="O1296" s="2" t="s">
        <v>50</v>
      </c>
    </row>
    <row r="1297" customFormat="false" ht="15" hidden="false" customHeight="false" outlineLevel="0" collapsed="false">
      <c r="A1297" s="2" t="s">
        <v>1351</v>
      </c>
      <c r="B1297" s="3" t="n">
        <v>46190</v>
      </c>
      <c r="C1297" s="2" t="s">
        <v>59</v>
      </c>
      <c r="D1297" s="2" t="s">
        <v>60</v>
      </c>
      <c r="E1297" s="2" t="s">
        <v>49</v>
      </c>
      <c r="F1297" s="4" t="str">
        <f aca="false">INDEX(Products!$B$2:$B$9,MATCH(E1297,Products!$A$2:$A$9,0))</f>
        <v>Mounting Kit</v>
      </c>
      <c r="G1297" s="4" t="str">
        <f aca="false">INDEX(Products!$C$2:$C$9,MATCH(E1297,Products!$A$2:$A$9,0))</f>
        <v>Accessories</v>
      </c>
      <c r="H1297" s="5" t="n">
        <v>2</v>
      </c>
      <c r="I1297" s="6" t="n">
        <f aca="false">INDEX(Products!$D$2:$D$9,MATCH(E1297,Products!$A$2:$A$9,0))</f>
        <v>39</v>
      </c>
      <c r="J1297" s="7" t="n">
        <v>0.1</v>
      </c>
      <c r="K1297" s="8" t="n">
        <f aca="false">H1297*I1297*(1-J1297)</f>
        <v>70.2</v>
      </c>
      <c r="L1297" s="6" t="n">
        <f aca="false">H1297*INDEX(Products!$E$2:$E$9,MATCH(E1297,Products!$A$2:$A$9,0))</f>
        <v>63</v>
      </c>
      <c r="M1297" s="8" t="n">
        <f aca="false">K1297-L1297</f>
        <v>7.2</v>
      </c>
      <c r="N1297" s="2" t="s">
        <v>19</v>
      </c>
      <c r="O1297" s="2" t="s">
        <v>62</v>
      </c>
    </row>
    <row r="1298" customFormat="false" ht="15" hidden="false" customHeight="false" outlineLevel="0" collapsed="false">
      <c r="A1298" s="2" t="s">
        <v>1352</v>
      </c>
      <c r="B1298" s="3" t="n">
        <v>46190</v>
      </c>
      <c r="C1298" s="2" t="s">
        <v>41</v>
      </c>
      <c r="D1298" s="2" t="s">
        <v>66</v>
      </c>
      <c r="E1298" s="2" t="s">
        <v>49</v>
      </c>
      <c r="F1298" s="4" t="str">
        <f aca="false">INDEX(Products!$B$2:$B$9,MATCH(E1298,Products!$A$2:$A$9,0))</f>
        <v>Mounting Kit</v>
      </c>
      <c r="G1298" s="4" t="str">
        <f aca="false">INDEX(Products!$C$2:$C$9,MATCH(E1298,Products!$A$2:$A$9,0))</f>
        <v>Accessories</v>
      </c>
      <c r="H1298" s="5" t="n">
        <v>4</v>
      </c>
      <c r="I1298" s="6" t="n">
        <f aca="false">INDEX(Products!$D$2:$D$9,MATCH(E1298,Products!$A$2:$A$9,0))</f>
        <v>39</v>
      </c>
      <c r="J1298" s="7" t="n">
        <v>0.1</v>
      </c>
      <c r="K1298" s="8" t="n">
        <f aca="false">H1298*I1298*(1-J1298)</f>
        <v>140.4</v>
      </c>
      <c r="L1298" s="6" t="n">
        <f aca="false">H1298*INDEX(Products!$E$2:$E$9,MATCH(E1298,Products!$A$2:$A$9,0))</f>
        <v>126</v>
      </c>
      <c r="M1298" s="8" t="n">
        <f aca="false">K1298-L1298</f>
        <v>14.4</v>
      </c>
      <c r="N1298" s="2" t="s">
        <v>28</v>
      </c>
      <c r="O1298" s="2" t="s">
        <v>43</v>
      </c>
    </row>
    <row r="1299" customFormat="false" ht="15" hidden="false" customHeight="false" outlineLevel="0" collapsed="false">
      <c r="A1299" s="2" t="s">
        <v>1353</v>
      </c>
      <c r="B1299" s="3" t="n">
        <v>46190</v>
      </c>
      <c r="C1299" s="2" t="s">
        <v>47</v>
      </c>
      <c r="D1299" s="2" t="s">
        <v>55</v>
      </c>
      <c r="E1299" s="2" t="s">
        <v>32</v>
      </c>
      <c r="F1299" s="4" t="str">
        <f aca="false">INDEX(Products!$B$2:$B$9,MATCH(E1299,Products!$A$2:$A$9,0))</f>
        <v>Analytics Plus</v>
      </c>
      <c r="G1299" s="4" t="str">
        <f aca="false">INDEX(Products!$C$2:$C$9,MATCH(E1299,Products!$A$2:$A$9,0))</f>
        <v>Software</v>
      </c>
      <c r="H1299" s="5" t="n">
        <v>1</v>
      </c>
      <c r="I1299" s="6" t="n">
        <f aca="false">INDEX(Products!$D$2:$D$9,MATCH(E1299,Products!$A$2:$A$9,0))</f>
        <v>290</v>
      </c>
      <c r="J1299" s="7" t="n">
        <v>0.1</v>
      </c>
      <c r="K1299" s="8" t="n">
        <f aca="false">H1299*I1299*(1-J1299)</f>
        <v>261</v>
      </c>
      <c r="L1299" s="6" t="n">
        <f aca="false">H1299*INDEX(Products!$E$2:$E$9,MATCH(E1299,Products!$A$2:$A$9,0))</f>
        <v>41</v>
      </c>
      <c r="M1299" s="8" t="n">
        <f aca="false">K1299-L1299</f>
        <v>220</v>
      </c>
      <c r="N1299" s="2" t="s">
        <v>38</v>
      </c>
      <c r="O1299" s="2" t="s">
        <v>50</v>
      </c>
    </row>
    <row r="1300" customFormat="false" ht="15" hidden="false" customHeight="false" outlineLevel="0" collapsed="false">
      <c r="A1300" s="2" t="s">
        <v>1354</v>
      </c>
      <c r="B1300" s="3" t="n">
        <v>46190</v>
      </c>
      <c r="C1300" s="2" t="s">
        <v>16</v>
      </c>
      <c r="D1300" s="2" t="s">
        <v>17</v>
      </c>
      <c r="E1300" s="2" t="s">
        <v>49</v>
      </c>
      <c r="F1300" s="4" t="str">
        <f aca="false">INDEX(Products!$B$2:$B$9,MATCH(E1300,Products!$A$2:$A$9,0))</f>
        <v>Mounting Kit</v>
      </c>
      <c r="G1300" s="4" t="str">
        <f aca="false">INDEX(Products!$C$2:$C$9,MATCH(E1300,Products!$A$2:$A$9,0))</f>
        <v>Accessories</v>
      </c>
      <c r="H1300" s="5" t="n">
        <v>2</v>
      </c>
      <c r="I1300" s="6" t="n">
        <f aca="false">INDEX(Products!$D$2:$D$9,MATCH(E1300,Products!$A$2:$A$9,0))</f>
        <v>39</v>
      </c>
      <c r="J1300" s="7" t="n">
        <v>0</v>
      </c>
      <c r="K1300" s="8" t="n">
        <f aca="false">H1300*I1300*(1-J1300)</f>
        <v>78</v>
      </c>
      <c r="L1300" s="6" t="n">
        <f aca="false">H1300*INDEX(Products!$E$2:$E$9,MATCH(E1300,Products!$A$2:$A$9,0))</f>
        <v>63</v>
      </c>
      <c r="M1300" s="8" t="n">
        <f aca="false">K1300-L1300</f>
        <v>15</v>
      </c>
      <c r="N1300" s="2" t="s">
        <v>28</v>
      </c>
      <c r="O1300" s="2" t="s">
        <v>20</v>
      </c>
    </row>
    <row r="1301" customFormat="false" ht="15" hidden="false" customHeight="false" outlineLevel="0" collapsed="false">
      <c r="A1301" s="2" t="s">
        <v>1355</v>
      </c>
      <c r="B1301" s="3" t="n">
        <v>46191</v>
      </c>
      <c r="C1301" s="2" t="s">
        <v>59</v>
      </c>
      <c r="D1301" s="2" t="s">
        <v>101</v>
      </c>
      <c r="E1301" s="2" t="s">
        <v>18</v>
      </c>
      <c r="F1301" s="4" t="str">
        <f aca="false">INDEX(Products!$B$2:$B$9,MATCH(E1301,Products!$A$2:$A$9,0))</f>
        <v>Sensor Hub Pro</v>
      </c>
      <c r="G1301" s="4" t="str">
        <f aca="false">INDEX(Products!$C$2:$C$9,MATCH(E1301,Products!$A$2:$A$9,0))</f>
        <v>Hardware</v>
      </c>
      <c r="H1301" s="5" t="n">
        <v>20</v>
      </c>
      <c r="I1301" s="6" t="n">
        <f aca="false">INDEX(Products!$D$2:$D$9,MATCH(E1301,Products!$A$2:$A$9,0))</f>
        <v>349</v>
      </c>
      <c r="J1301" s="7" t="n">
        <v>0.15</v>
      </c>
      <c r="K1301" s="8" t="n">
        <f aca="false">H1301*I1301*(1-J1301)</f>
        <v>5933</v>
      </c>
      <c r="L1301" s="6" t="n">
        <f aca="false">H1301*INDEX(Products!$E$2:$E$9,MATCH(E1301,Products!$A$2:$A$9,0))</f>
        <v>4020</v>
      </c>
      <c r="M1301" s="8" t="n">
        <f aca="false">K1301-L1301</f>
        <v>1913</v>
      </c>
      <c r="N1301" s="2" t="s">
        <v>19</v>
      </c>
      <c r="O1301" s="2" t="s">
        <v>62</v>
      </c>
    </row>
    <row r="1302" customFormat="false" ht="15" hidden="false" customHeight="false" outlineLevel="0" collapsed="false">
      <c r="A1302" s="2" t="s">
        <v>1356</v>
      </c>
      <c r="B1302" s="3" t="n">
        <v>46191</v>
      </c>
      <c r="C1302" s="2" t="s">
        <v>16</v>
      </c>
      <c r="D1302" s="2" t="s">
        <v>25</v>
      </c>
      <c r="E1302" s="2" t="s">
        <v>18</v>
      </c>
      <c r="F1302" s="4" t="str">
        <f aca="false">INDEX(Products!$B$2:$B$9,MATCH(E1302,Products!$A$2:$A$9,0))</f>
        <v>Sensor Hub Pro</v>
      </c>
      <c r="G1302" s="4" t="str">
        <f aca="false">INDEX(Products!$C$2:$C$9,MATCH(E1302,Products!$A$2:$A$9,0))</f>
        <v>Hardware</v>
      </c>
      <c r="H1302" s="5" t="n">
        <v>12</v>
      </c>
      <c r="I1302" s="6" t="n">
        <f aca="false">INDEX(Products!$D$2:$D$9,MATCH(E1302,Products!$A$2:$A$9,0))</f>
        <v>349</v>
      </c>
      <c r="J1302" s="7" t="n">
        <v>0.25</v>
      </c>
      <c r="K1302" s="8" t="n">
        <f aca="false">H1302*I1302*(1-J1302)</f>
        <v>3141</v>
      </c>
      <c r="L1302" s="6" t="n">
        <f aca="false">H1302*INDEX(Products!$E$2:$E$9,MATCH(E1302,Products!$A$2:$A$9,0))</f>
        <v>2412</v>
      </c>
      <c r="M1302" s="8" t="n">
        <f aca="false">K1302-L1302</f>
        <v>729</v>
      </c>
      <c r="N1302" s="2" t="s">
        <v>19</v>
      </c>
      <c r="O1302" s="2" t="s">
        <v>36</v>
      </c>
    </row>
    <row r="1303" customFormat="false" ht="15" hidden="false" customHeight="false" outlineLevel="0" collapsed="false">
      <c r="A1303" s="2" t="s">
        <v>1357</v>
      </c>
      <c r="B1303" s="3" t="n">
        <v>46191</v>
      </c>
      <c r="C1303" s="2" t="s">
        <v>47</v>
      </c>
      <c r="D1303" s="2" t="s">
        <v>55</v>
      </c>
      <c r="E1303" s="2" t="s">
        <v>61</v>
      </c>
      <c r="F1303" s="4" t="str">
        <f aca="false">INDEX(Products!$B$2:$B$9,MATCH(E1303,Products!$A$2:$A$9,0))</f>
        <v>Install Service</v>
      </c>
      <c r="G1303" s="4" t="str">
        <f aca="false">INDEX(Products!$C$2:$C$9,MATCH(E1303,Products!$A$2:$A$9,0))</f>
        <v>Services</v>
      </c>
      <c r="H1303" s="5" t="n">
        <v>2</v>
      </c>
      <c r="I1303" s="6" t="n">
        <f aca="false">INDEX(Products!$D$2:$D$9,MATCH(E1303,Products!$A$2:$A$9,0))</f>
        <v>450</v>
      </c>
      <c r="J1303" s="7" t="n">
        <v>0.05</v>
      </c>
      <c r="K1303" s="8" t="n">
        <f aca="false">H1303*I1303*(1-J1303)</f>
        <v>855</v>
      </c>
      <c r="L1303" s="6" t="n">
        <f aca="false">H1303*INDEX(Products!$E$2:$E$9,MATCH(E1303,Products!$A$2:$A$9,0))</f>
        <v>620</v>
      </c>
      <c r="M1303" s="8" t="n">
        <f aca="false">K1303-L1303</f>
        <v>235</v>
      </c>
      <c r="N1303" s="2" t="s">
        <v>28</v>
      </c>
      <c r="O1303" s="2" t="s">
        <v>50</v>
      </c>
    </row>
    <row r="1304" customFormat="false" ht="15" hidden="false" customHeight="false" outlineLevel="0" collapsed="false">
      <c r="A1304" s="2" t="s">
        <v>1358</v>
      </c>
      <c r="B1304" s="3" t="n">
        <v>46192</v>
      </c>
      <c r="C1304" s="2" t="s">
        <v>30</v>
      </c>
      <c r="D1304" s="2" t="s">
        <v>128</v>
      </c>
      <c r="E1304" s="2" t="s">
        <v>23</v>
      </c>
      <c r="F1304" s="4" t="str">
        <f aca="false">INDEX(Products!$B$2:$B$9,MATCH(E1304,Products!$A$2:$A$9,0))</f>
        <v>Sensor Hub S</v>
      </c>
      <c r="G1304" s="4" t="str">
        <f aca="false">INDEX(Products!$C$2:$C$9,MATCH(E1304,Products!$A$2:$A$9,0))</f>
        <v>Hardware</v>
      </c>
      <c r="H1304" s="5" t="n">
        <v>8</v>
      </c>
      <c r="I1304" s="6" t="n">
        <f aca="false">INDEX(Products!$D$2:$D$9,MATCH(E1304,Products!$A$2:$A$9,0))</f>
        <v>189</v>
      </c>
      <c r="J1304" s="7" t="n">
        <v>0</v>
      </c>
      <c r="K1304" s="8" t="n">
        <f aca="false">H1304*I1304*(1-J1304)</f>
        <v>1512</v>
      </c>
      <c r="L1304" s="6" t="n">
        <f aca="false">H1304*INDEX(Products!$E$2:$E$9,MATCH(E1304,Products!$A$2:$A$9,0))</f>
        <v>784</v>
      </c>
      <c r="M1304" s="8" t="n">
        <f aca="false">K1304-L1304</f>
        <v>728</v>
      </c>
      <c r="N1304" s="2" t="s">
        <v>38</v>
      </c>
      <c r="O1304" s="2" t="s">
        <v>33</v>
      </c>
    </row>
    <row r="1305" customFormat="false" ht="15" hidden="false" customHeight="false" outlineLevel="0" collapsed="false">
      <c r="A1305" s="2" t="s">
        <v>1359</v>
      </c>
      <c r="B1305" s="3" t="n">
        <v>46192</v>
      </c>
      <c r="C1305" s="2" t="s">
        <v>16</v>
      </c>
      <c r="D1305" s="2" t="s">
        <v>22</v>
      </c>
      <c r="E1305" s="2" t="s">
        <v>23</v>
      </c>
      <c r="F1305" s="4" t="str">
        <f aca="false">INDEX(Products!$B$2:$B$9,MATCH(E1305,Products!$A$2:$A$9,0))</f>
        <v>Sensor Hub S</v>
      </c>
      <c r="G1305" s="4" t="str">
        <f aca="false">INDEX(Products!$C$2:$C$9,MATCH(E1305,Products!$A$2:$A$9,0))</f>
        <v>Hardware</v>
      </c>
      <c r="H1305" s="5" t="n">
        <v>2</v>
      </c>
      <c r="I1305" s="6" t="n">
        <f aca="false">INDEX(Products!$D$2:$D$9,MATCH(E1305,Products!$A$2:$A$9,0))</f>
        <v>189</v>
      </c>
      <c r="J1305" s="7" t="n">
        <v>0.2</v>
      </c>
      <c r="K1305" s="8" t="n">
        <f aca="false">H1305*I1305*(1-J1305)</f>
        <v>302.4</v>
      </c>
      <c r="L1305" s="6" t="n">
        <f aca="false">H1305*INDEX(Products!$E$2:$E$9,MATCH(E1305,Products!$A$2:$A$9,0))</f>
        <v>196</v>
      </c>
      <c r="M1305" s="8" t="n">
        <f aca="false">K1305-L1305</f>
        <v>106.4</v>
      </c>
      <c r="N1305" s="2" t="s">
        <v>19</v>
      </c>
      <c r="O1305" s="2" t="s">
        <v>36</v>
      </c>
    </row>
    <row r="1306" customFormat="false" ht="15" hidden="false" customHeight="false" outlineLevel="0" collapsed="false">
      <c r="A1306" s="2" t="s">
        <v>1360</v>
      </c>
      <c r="B1306" s="3" t="n">
        <v>46192</v>
      </c>
      <c r="C1306" s="2" t="s">
        <v>16</v>
      </c>
      <c r="D1306" s="2" t="s">
        <v>17</v>
      </c>
      <c r="E1306" s="2" t="s">
        <v>26</v>
      </c>
      <c r="F1306" s="4" t="str">
        <f aca="false">INDEX(Products!$B$2:$B$9,MATCH(E1306,Products!$A$2:$A$9,0))</f>
        <v>Analytics Basic</v>
      </c>
      <c r="G1306" s="4" t="str">
        <f aca="false">INDEX(Products!$C$2:$C$9,MATCH(E1306,Products!$A$2:$A$9,0))</f>
        <v>Software</v>
      </c>
      <c r="H1306" s="5" t="n">
        <v>2</v>
      </c>
      <c r="I1306" s="6" t="n">
        <f aca="false">INDEX(Products!$D$2:$D$9,MATCH(E1306,Products!$A$2:$A$9,0))</f>
        <v>120</v>
      </c>
      <c r="J1306" s="7" t="n">
        <v>0.05</v>
      </c>
      <c r="K1306" s="8" t="n">
        <f aca="false">H1306*I1306*(1-J1306)</f>
        <v>228</v>
      </c>
      <c r="L1306" s="6" t="n">
        <f aca="false">H1306*INDEX(Products!$E$2:$E$9,MATCH(E1306,Products!$A$2:$A$9,0))</f>
        <v>36</v>
      </c>
      <c r="M1306" s="8" t="n">
        <f aca="false">K1306-L1306</f>
        <v>192</v>
      </c>
      <c r="N1306" s="2" t="s">
        <v>38</v>
      </c>
      <c r="O1306" s="2" t="s">
        <v>36</v>
      </c>
    </row>
    <row r="1307" customFormat="false" ht="15" hidden="false" customHeight="false" outlineLevel="0" collapsed="false">
      <c r="A1307" s="2" t="s">
        <v>1361</v>
      </c>
      <c r="B1307" s="3" t="n">
        <v>46192</v>
      </c>
      <c r="C1307" s="2" t="s">
        <v>41</v>
      </c>
      <c r="D1307" s="2" t="s">
        <v>42</v>
      </c>
      <c r="E1307" s="2" t="s">
        <v>68</v>
      </c>
      <c r="F1307" s="4" t="str">
        <f aca="false">INDEX(Products!$B$2:$B$9,MATCH(E1307,Products!$A$2:$A$9,0))</f>
        <v>Premium Support</v>
      </c>
      <c r="G1307" s="4" t="str">
        <f aca="false">INDEX(Products!$C$2:$C$9,MATCH(E1307,Products!$A$2:$A$9,0))</f>
        <v>Services</v>
      </c>
      <c r="H1307" s="5" t="n">
        <v>3</v>
      </c>
      <c r="I1307" s="6" t="n">
        <f aca="false">INDEX(Products!$D$2:$D$9,MATCH(E1307,Products!$A$2:$A$9,0))</f>
        <v>600</v>
      </c>
      <c r="J1307" s="7" t="n">
        <v>0.05</v>
      </c>
      <c r="K1307" s="8" t="n">
        <f aca="false">H1307*I1307*(1-J1307)</f>
        <v>1710</v>
      </c>
      <c r="L1307" s="6" t="n">
        <f aca="false">H1307*INDEX(Products!$E$2:$E$9,MATCH(E1307,Products!$A$2:$A$9,0))</f>
        <v>1185</v>
      </c>
      <c r="M1307" s="8" t="n">
        <f aca="false">K1307-L1307</f>
        <v>525</v>
      </c>
      <c r="N1307" s="2" t="s">
        <v>28</v>
      </c>
      <c r="O1307" s="2" t="s">
        <v>43</v>
      </c>
    </row>
    <row r="1308" customFormat="false" ht="15" hidden="false" customHeight="false" outlineLevel="0" collapsed="false">
      <c r="A1308" s="2" t="s">
        <v>1362</v>
      </c>
      <c r="B1308" s="3" t="n">
        <v>46194</v>
      </c>
      <c r="C1308" s="2" t="s">
        <v>16</v>
      </c>
      <c r="D1308" s="2" t="s">
        <v>17</v>
      </c>
      <c r="E1308" s="2" t="s">
        <v>23</v>
      </c>
      <c r="F1308" s="4" t="str">
        <f aca="false">INDEX(Products!$B$2:$B$9,MATCH(E1308,Products!$A$2:$A$9,0))</f>
        <v>Sensor Hub S</v>
      </c>
      <c r="G1308" s="4" t="str">
        <f aca="false">INDEX(Products!$C$2:$C$9,MATCH(E1308,Products!$A$2:$A$9,0))</f>
        <v>Hardware</v>
      </c>
      <c r="H1308" s="5" t="n">
        <v>2</v>
      </c>
      <c r="I1308" s="6" t="n">
        <f aca="false">INDEX(Products!$D$2:$D$9,MATCH(E1308,Products!$A$2:$A$9,0))</f>
        <v>189</v>
      </c>
      <c r="J1308" s="7" t="n">
        <v>0.05</v>
      </c>
      <c r="K1308" s="8" t="n">
        <f aca="false">H1308*I1308*(1-J1308)</f>
        <v>359.1</v>
      </c>
      <c r="L1308" s="6" t="n">
        <f aca="false">H1308*INDEX(Products!$E$2:$E$9,MATCH(E1308,Products!$A$2:$A$9,0))</f>
        <v>196</v>
      </c>
      <c r="M1308" s="8" t="n">
        <f aca="false">K1308-L1308</f>
        <v>163.1</v>
      </c>
      <c r="N1308" s="2" t="s">
        <v>38</v>
      </c>
      <c r="O1308" s="2" t="s">
        <v>36</v>
      </c>
    </row>
    <row r="1309" customFormat="false" ht="15" hidden="false" customHeight="false" outlineLevel="0" collapsed="false">
      <c r="A1309" s="2" t="s">
        <v>1363</v>
      </c>
      <c r="B1309" s="3" t="n">
        <v>46195</v>
      </c>
      <c r="C1309" s="2" t="s">
        <v>59</v>
      </c>
      <c r="D1309" s="2" t="s">
        <v>101</v>
      </c>
      <c r="E1309" s="2" t="s">
        <v>23</v>
      </c>
      <c r="F1309" s="4" t="str">
        <f aca="false">INDEX(Products!$B$2:$B$9,MATCH(E1309,Products!$A$2:$A$9,0))</f>
        <v>Sensor Hub S</v>
      </c>
      <c r="G1309" s="4" t="str">
        <f aca="false">INDEX(Products!$C$2:$C$9,MATCH(E1309,Products!$A$2:$A$9,0))</f>
        <v>Hardware</v>
      </c>
      <c r="H1309" s="5" t="n">
        <v>4</v>
      </c>
      <c r="I1309" s="6" t="n">
        <f aca="false">INDEX(Products!$D$2:$D$9,MATCH(E1309,Products!$A$2:$A$9,0))</f>
        <v>189</v>
      </c>
      <c r="J1309" s="7" t="n">
        <v>0</v>
      </c>
      <c r="K1309" s="8" t="n">
        <f aca="false">H1309*I1309*(1-J1309)</f>
        <v>756</v>
      </c>
      <c r="L1309" s="6" t="n">
        <f aca="false">H1309*INDEX(Products!$E$2:$E$9,MATCH(E1309,Products!$A$2:$A$9,0))</f>
        <v>392</v>
      </c>
      <c r="M1309" s="8" t="n">
        <f aca="false">K1309-L1309</f>
        <v>364</v>
      </c>
      <c r="N1309" s="2" t="s">
        <v>38</v>
      </c>
      <c r="O1309" s="2" t="s">
        <v>62</v>
      </c>
    </row>
    <row r="1310" customFormat="false" ht="15" hidden="false" customHeight="false" outlineLevel="0" collapsed="false">
      <c r="A1310" s="2" t="s">
        <v>1364</v>
      </c>
      <c r="B1310" s="3" t="n">
        <v>46195</v>
      </c>
      <c r="C1310" s="2" t="s">
        <v>47</v>
      </c>
      <c r="D1310" s="2" t="s">
        <v>157</v>
      </c>
      <c r="E1310" s="2" t="s">
        <v>26</v>
      </c>
      <c r="F1310" s="4" t="str">
        <f aca="false">INDEX(Products!$B$2:$B$9,MATCH(E1310,Products!$A$2:$A$9,0))</f>
        <v>Analytics Basic</v>
      </c>
      <c r="G1310" s="4" t="str">
        <f aca="false">INDEX(Products!$C$2:$C$9,MATCH(E1310,Products!$A$2:$A$9,0))</f>
        <v>Software</v>
      </c>
      <c r="H1310" s="5" t="n">
        <v>2</v>
      </c>
      <c r="I1310" s="6" t="n">
        <f aca="false">INDEX(Products!$D$2:$D$9,MATCH(E1310,Products!$A$2:$A$9,0))</f>
        <v>120</v>
      </c>
      <c r="J1310" s="7" t="n">
        <v>0.1</v>
      </c>
      <c r="K1310" s="8" t="n">
        <f aca="false">H1310*I1310*(1-J1310)</f>
        <v>216</v>
      </c>
      <c r="L1310" s="6" t="n">
        <f aca="false">H1310*INDEX(Products!$E$2:$E$9,MATCH(E1310,Products!$A$2:$A$9,0))</f>
        <v>36</v>
      </c>
      <c r="M1310" s="8" t="n">
        <f aca="false">K1310-L1310</f>
        <v>180</v>
      </c>
      <c r="N1310" s="2" t="s">
        <v>19</v>
      </c>
      <c r="O1310" s="2" t="s">
        <v>50</v>
      </c>
    </row>
    <row r="1311" customFormat="false" ht="15" hidden="false" customHeight="false" outlineLevel="0" collapsed="false">
      <c r="A1311" s="2" t="s">
        <v>1365</v>
      </c>
      <c r="B1311" s="3" t="n">
        <v>46196</v>
      </c>
      <c r="C1311" s="2" t="s">
        <v>41</v>
      </c>
      <c r="D1311" s="2" t="s">
        <v>42</v>
      </c>
      <c r="E1311" s="2" t="s">
        <v>32</v>
      </c>
      <c r="F1311" s="4" t="str">
        <f aca="false">INDEX(Products!$B$2:$B$9,MATCH(E1311,Products!$A$2:$A$9,0))</f>
        <v>Analytics Plus</v>
      </c>
      <c r="G1311" s="4" t="str">
        <f aca="false">INDEX(Products!$C$2:$C$9,MATCH(E1311,Products!$A$2:$A$9,0))</f>
        <v>Software</v>
      </c>
      <c r="H1311" s="5" t="n">
        <v>1</v>
      </c>
      <c r="I1311" s="6" t="n">
        <f aca="false">INDEX(Products!$D$2:$D$9,MATCH(E1311,Products!$A$2:$A$9,0))</f>
        <v>290</v>
      </c>
      <c r="J1311" s="7" t="n">
        <v>0</v>
      </c>
      <c r="K1311" s="8" t="n">
        <f aca="false">H1311*I1311*(1-J1311)</f>
        <v>290</v>
      </c>
      <c r="L1311" s="6" t="n">
        <f aca="false">H1311*INDEX(Products!$E$2:$E$9,MATCH(E1311,Products!$A$2:$A$9,0))</f>
        <v>41</v>
      </c>
      <c r="M1311" s="8" t="n">
        <f aca="false">K1311-L1311</f>
        <v>249</v>
      </c>
      <c r="N1311" s="2" t="s">
        <v>28</v>
      </c>
      <c r="O1311" s="2" t="s">
        <v>52</v>
      </c>
    </row>
    <row r="1312" customFormat="false" ht="15" hidden="false" customHeight="false" outlineLevel="0" collapsed="false">
      <c r="A1312" s="2" t="s">
        <v>1366</v>
      </c>
      <c r="B1312" s="3" t="n">
        <v>46196</v>
      </c>
      <c r="C1312" s="2" t="s">
        <v>16</v>
      </c>
      <c r="D1312" s="2" t="s">
        <v>17</v>
      </c>
      <c r="E1312" s="2" t="s">
        <v>49</v>
      </c>
      <c r="F1312" s="4" t="str">
        <f aca="false">INDEX(Products!$B$2:$B$9,MATCH(E1312,Products!$A$2:$A$9,0))</f>
        <v>Mounting Kit</v>
      </c>
      <c r="G1312" s="4" t="str">
        <f aca="false">INDEX(Products!$C$2:$C$9,MATCH(E1312,Products!$A$2:$A$9,0))</f>
        <v>Accessories</v>
      </c>
      <c r="H1312" s="5" t="n">
        <v>5</v>
      </c>
      <c r="I1312" s="6" t="n">
        <f aca="false">INDEX(Products!$D$2:$D$9,MATCH(E1312,Products!$A$2:$A$9,0))</f>
        <v>39</v>
      </c>
      <c r="J1312" s="7" t="n">
        <v>0</v>
      </c>
      <c r="K1312" s="8" t="n">
        <f aca="false">H1312*I1312*(1-J1312)</f>
        <v>195</v>
      </c>
      <c r="L1312" s="6" t="n">
        <f aca="false">H1312*INDEX(Products!$E$2:$E$9,MATCH(E1312,Products!$A$2:$A$9,0))</f>
        <v>157.5</v>
      </c>
      <c r="M1312" s="8" t="n">
        <f aca="false">K1312-L1312</f>
        <v>37.5</v>
      </c>
      <c r="N1312" s="2" t="s">
        <v>28</v>
      </c>
      <c r="O1312" s="2" t="s">
        <v>36</v>
      </c>
    </row>
    <row r="1313" customFormat="false" ht="15" hidden="false" customHeight="false" outlineLevel="0" collapsed="false">
      <c r="A1313" s="2" t="s">
        <v>1367</v>
      </c>
      <c r="B1313" s="3" t="n">
        <v>46196</v>
      </c>
      <c r="C1313" s="2" t="s">
        <v>47</v>
      </c>
      <c r="D1313" s="2" t="s">
        <v>71</v>
      </c>
      <c r="E1313" s="2" t="s">
        <v>23</v>
      </c>
      <c r="F1313" s="4" t="str">
        <f aca="false">INDEX(Products!$B$2:$B$9,MATCH(E1313,Products!$A$2:$A$9,0))</f>
        <v>Sensor Hub S</v>
      </c>
      <c r="G1313" s="4" t="str">
        <f aca="false">INDEX(Products!$C$2:$C$9,MATCH(E1313,Products!$A$2:$A$9,0))</f>
        <v>Hardware</v>
      </c>
      <c r="H1313" s="5" t="n">
        <v>20</v>
      </c>
      <c r="I1313" s="6" t="n">
        <f aca="false">INDEX(Products!$D$2:$D$9,MATCH(E1313,Products!$A$2:$A$9,0))</f>
        <v>189</v>
      </c>
      <c r="J1313" s="7" t="n">
        <v>0.1</v>
      </c>
      <c r="K1313" s="8" t="n">
        <f aca="false">H1313*I1313*(1-J1313)</f>
        <v>3402</v>
      </c>
      <c r="L1313" s="6" t="n">
        <f aca="false">H1313*INDEX(Products!$E$2:$E$9,MATCH(E1313,Products!$A$2:$A$9,0))</f>
        <v>1960</v>
      </c>
      <c r="M1313" s="8" t="n">
        <f aca="false">K1313-L1313</f>
        <v>1442</v>
      </c>
      <c r="N1313" s="2" t="s">
        <v>28</v>
      </c>
      <c r="O1313" s="2" t="s">
        <v>72</v>
      </c>
    </row>
    <row r="1314" customFormat="false" ht="15" hidden="false" customHeight="false" outlineLevel="0" collapsed="false">
      <c r="A1314" s="2" t="s">
        <v>1368</v>
      </c>
      <c r="B1314" s="3" t="n">
        <v>46196</v>
      </c>
      <c r="C1314" s="2" t="s">
        <v>47</v>
      </c>
      <c r="D1314" s="2" t="s">
        <v>157</v>
      </c>
      <c r="E1314" s="2" t="s">
        <v>49</v>
      </c>
      <c r="F1314" s="4" t="str">
        <f aca="false">INDEX(Products!$B$2:$B$9,MATCH(E1314,Products!$A$2:$A$9,0))</f>
        <v>Mounting Kit</v>
      </c>
      <c r="G1314" s="4" t="str">
        <f aca="false">INDEX(Products!$C$2:$C$9,MATCH(E1314,Products!$A$2:$A$9,0))</f>
        <v>Accessories</v>
      </c>
      <c r="H1314" s="5" t="n">
        <v>2</v>
      </c>
      <c r="I1314" s="6" t="n">
        <f aca="false">INDEX(Products!$D$2:$D$9,MATCH(E1314,Products!$A$2:$A$9,0))</f>
        <v>39</v>
      </c>
      <c r="J1314" s="7" t="n">
        <v>0</v>
      </c>
      <c r="K1314" s="8" t="n">
        <f aca="false">H1314*I1314*(1-J1314)</f>
        <v>78</v>
      </c>
      <c r="L1314" s="6" t="n">
        <f aca="false">H1314*INDEX(Products!$E$2:$E$9,MATCH(E1314,Products!$A$2:$A$9,0))</f>
        <v>63</v>
      </c>
      <c r="M1314" s="8" t="n">
        <f aca="false">K1314-L1314</f>
        <v>15</v>
      </c>
      <c r="N1314" s="2" t="s">
        <v>28</v>
      </c>
      <c r="O1314" s="2" t="s">
        <v>72</v>
      </c>
    </row>
    <row r="1315" customFormat="false" ht="15" hidden="false" customHeight="false" outlineLevel="0" collapsed="false">
      <c r="A1315" s="2" t="s">
        <v>1369</v>
      </c>
      <c r="B1315" s="3" t="n">
        <v>46197</v>
      </c>
      <c r="C1315" s="2" t="s">
        <v>41</v>
      </c>
      <c r="D1315" s="2" t="s">
        <v>42</v>
      </c>
      <c r="E1315" s="2" t="s">
        <v>23</v>
      </c>
      <c r="F1315" s="4" t="str">
        <f aca="false">INDEX(Products!$B$2:$B$9,MATCH(E1315,Products!$A$2:$A$9,0))</f>
        <v>Sensor Hub S</v>
      </c>
      <c r="G1315" s="4" t="str">
        <f aca="false">INDEX(Products!$C$2:$C$9,MATCH(E1315,Products!$A$2:$A$9,0))</f>
        <v>Hardware</v>
      </c>
      <c r="H1315" s="5" t="n">
        <v>1</v>
      </c>
      <c r="I1315" s="6" t="n">
        <f aca="false">INDEX(Products!$D$2:$D$9,MATCH(E1315,Products!$A$2:$A$9,0))</f>
        <v>189</v>
      </c>
      <c r="J1315" s="7" t="n">
        <v>0.05</v>
      </c>
      <c r="K1315" s="8" t="n">
        <f aca="false">H1315*I1315*(1-J1315)</f>
        <v>179.55</v>
      </c>
      <c r="L1315" s="6" t="n">
        <f aca="false">H1315*INDEX(Products!$E$2:$E$9,MATCH(E1315,Products!$A$2:$A$9,0))</f>
        <v>98</v>
      </c>
      <c r="M1315" s="8" t="n">
        <f aca="false">K1315-L1315</f>
        <v>81.55</v>
      </c>
      <c r="N1315" s="2" t="s">
        <v>38</v>
      </c>
      <c r="O1315" s="2" t="s">
        <v>43</v>
      </c>
    </row>
    <row r="1316" customFormat="false" ht="15" hidden="false" customHeight="false" outlineLevel="0" collapsed="false">
      <c r="A1316" s="2" t="s">
        <v>1370</v>
      </c>
      <c r="B1316" s="3" t="n">
        <v>46197</v>
      </c>
      <c r="C1316" s="2" t="s">
        <v>47</v>
      </c>
      <c r="D1316" s="2" t="s">
        <v>157</v>
      </c>
      <c r="E1316" s="2" t="s">
        <v>18</v>
      </c>
      <c r="F1316" s="4" t="str">
        <f aca="false">INDEX(Products!$B$2:$B$9,MATCH(E1316,Products!$A$2:$A$9,0))</f>
        <v>Sensor Hub Pro</v>
      </c>
      <c r="G1316" s="4" t="str">
        <f aca="false">INDEX(Products!$C$2:$C$9,MATCH(E1316,Products!$A$2:$A$9,0))</f>
        <v>Hardware</v>
      </c>
      <c r="H1316" s="5" t="n">
        <v>2</v>
      </c>
      <c r="I1316" s="6" t="n">
        <f aca="false">INDEX(Products!$D$2:$D$9,MATCH(E1316,Products!$A$2:$A$9,0))</f>
        <v>349</v>
      </c>
      <c r="J1316" s="7" t="n">
        <v>0.1</v>
      </c>
      <c r="K1316" s="8" t="n">
        <f aca="false">H1316*I1316*(1-J1316)</f>
        <v>628.2</v>
      </c>
      <c r="L1316" s="6" t="n">
        <f aca="false">H1316*INDEX(Products!$E$2:$E$9,MATCH(E1316,Products!$A$2:$A$9,0))</f>
        <v>402</v>
      </c>
      <c r="M1316" s="8" t="n">
        <f aca="false">K1316-L1316</f>
        <v>226.2</v>
      </c>
      <c r="N1316" s="2" t="s">
        <v>19</v>
      </c>
      <c r="O1316" s="2" t="s">
        <v>50</v>
      </c>
    </row>
    <row r="1317" customFormat="false" ht="15" hidden="false" customHeight="false" outlineLevel="0" collapsed="false">
      <c r="A1317" s="2" t="s">
        <v>1371</v>
      </c>
      <c r="B1317" s="3" t="n">
        <v>46197</v>
      </c>
      <c r="C1317" s="2" t="s">
        <v>47</v>
      </c>
      <c r="D1317" s="2" t="s">
        <v>55</v>
      </c>
      <c r="E1317" s="2" t="s">
        <v>23</v>
      </c>
      <c r="F1317" s="4" t="str">
        <f aca="false">INDEX(Products!$B$2:$B$9,MATCH(E1317,Products!$A$2:$A$9,0))</f>
        <v>Sensor Hub S</v>
      </c>
      <c r="G1317" s="4" t="str">
        <f aca="false">INDEX(Products!$C$2:$C$9,MATCH(E1317,Products!$A$2:$A$9,0))</f>
        <v>Hardware</v>
      </c>
      <c r="H1317" s="5" t="n">
        <v>8</v>
      </c>
      <c r="I1317" s="6" t="n">
        <f aca="false">INDEX(Products!$D$2:$D$9,MATCH(E1317,Products!$A$2:$A$9,0))</f>
        <v>189</v>
      </c>
      <c r="J1317" s="7" t="n">
        <v>0.1</v>
      </c>
      <c r="K1317" s="8" t="n">
        <f aca="false">H1317*I1317*(1-J1317)</f>
        <v>1360.8</v>
      </c>
      <c r="L1317" s="6" t="n">
        <f aca="false">H1317*INDEX(Products!$E$2:$E$9,MATCH(E1317,Products!$A$2:$A$9,0))</f>
        <v>784</v>
      </c>
      <c r="M1317" s="8" t="n">
        <f aca="false">K1317-L1317</f>
        <v>576.8</v>
      </c>
      <c r="N1317" s="2" t="s">
        <v>19</v>
      </c>
      <c r="O1317" s="2" t="s">
        <v>72</v>
      </c>
    </row>
    <row r="1318" customFormat="false" ht="15" hidden="false" customHeight="false" outlineLevel="0" collapsed="false">
      <c r="A1318" s="2" t="s">
        <v>1372</v>
      </c>
      <c r="B1318" s="3" t="n">
        <v>46197</v>
      </c>
      <c r="C1318" s="2" t="s">
        <v>30</v>
      </c>
      <c r="D1318" s="2" t="s">
        <v>77</v>
      </c>
      <c r="E1318" s="2" t="s">
        <v>49</v>
      </c>
      <c r="F1318" s="4" t="str">
        <f aca="false">INDEX(Products!$B$2:$B$9,MATCH(E1318,Products!$A$2:$A$9,0))</f>
        <v>Mounting Kit</v>
      </c>
      <c r="G1318" s="4" t="str">
        <f aca="false">INDEX(Products!$C$2:$C$9,MATCH(E1318,Products!$A$2:$A$9,0))</f>
        <v>Accessories</v>
      </c>
      <c r="H1318" s="5" t="n">
        <v>20</v>
      </c>
      <c r="I1318" s="6" t="n">
        <f aca="false">INDEX(Products!$D$2:$D$9,MATCH(E1318,Products!$A$2:$A$9,0))</f>
        <v>39</v>
      </c>
      <c r="J1318" s="7" t="n">
        <v>0</v>
      </c>
      <c r="K1318" s="8" t="n">
        <f aca="false">H1318*I1318*(1-J1318)</f>
        <v>780</v>
      </c>
      <c r="L1318" s="6" t="n">
        <f aca="false">H1318*INDEX(Products!$E$2:$E$9,MATCH(E1318,Products!$A$2:$A$9,0))</f>
        <v>630</v>
      </c>
      <c r="M1318" s="8" t="n">
        <f aca="false">K1318-L1318</f>
        <v>150</v>
      </c>
      <c r="N1318" s="2" t="s">
        <v>28</v>
      </c>
      <c r="O1318" s="2" t="s">
        <v>33</v>
      </c>
    </row>
    <row r="1319" customFormat="false" ht="15" hidden="false" customHeight="false" outlineLevel="0" collapsed="false">
      <c r="A1319" s="2" t="s">
        <v>1373</v>
      </c>
      <c r="B1319" s="3" t="n">
        <v>46198</v>
      </c>
      <c r="C1319" s="2" t="s">
        <v>47</v>
      </c>
      <c r="D1319" s="2" t="s">
        <v>157</v>
      </c>
      <c r="E1319" s="2" t="s">
        <v>23</v>
      </c>
      <c r="F1319" s="4" t="str">
        <f aca="false">INDEX(Products!$B$2:$B$9,MATCH(E1319,Products!$A$2:$A$9,0))</f>
        <v>Sensor Hub S</v>
      </c>
      <c r="G1319" s="4" t="str">
        <f aca="false">INDEX(Products!$C$2:$C$9,MATCH(E1319,Products!$A$2:$A$9,0))</f>
        <v>Hardware</v>
      </c>
      <c r="H1319" s="5" t="n">
        <v>12</v>
      </c>
      <c r="I1319" s="6" t="n">
        <f aca="false">INDEX(Products!$D$2:$D$9,MATCH(E1319,Products!$A$2:$A$9,0))</f>
        <v>189</v>
      </c>
      <c r="J1319" s="7" t="n">
        <v>0.1</v>
      </c>
      <c r="K1319" s="8" t="n">
        <f aca="false">H1319*I1319*(1-J1319)</f>
        <v>2041.2</v>
      </c>
      <c r="L1319" s="6" t="n">
        <f aca="false">H1319*INDEX(Products!$E$2:$E$9,MATCH(E1319,Products!$A$2:$A$9,0))</f>
        <v>1176</v>
      </c>
      <c r="M1319" s="8" t="n">
        <f aca="false">K1319-L1319</f>
        <v>865.2</v>
      </c>
      <c r="N1319" s="2" t="s">
        <v>28</v>
      </c>
      <c r="O1319" s="2" t="s">
        <v>72</v>
      </c>
    </row>
    <row r="1320" customFormat="false" ht="15" hidden="false" customHeight="false" outlineLevel="0" collapsed="false">
      <c r="A1320" s="2" t="s">
        <v>1374</v>
      </c>
      <c r="B1320" s="3" t="n">
        <v>46198</v>
      </c>
      <c r="C1320" s="2" t="s">
        <v>16</v>
      </c>
      <c r="D1320" s="2" t="s">
        <v>35</v>
      </c>
      <c r="E1320" s="2" t="s">
        <v>49</v>
      </c>
      <c r="F1320" s="4" t="str">
        <f aca="false">INDEX(Products!$B$2:$B$9,MATCH(E1320,Products!$A$2:$A$9,0))</f>
        <v>Mounting Kit</v>
      </c>
      <c r="G1320" s="4" t="str">
        <f aca="false">INDEX(Products!$C$2:$C$9,MATCH(E1320,Products!$A$2:$A$9,0))</f>
        <v>Accessories</v>
      </c>
      <c r="H1320" s="5" t="n">
        <v>2</v>
      </c>
      <c r="I1320" s="6" t="n">
        <f aca="false">INDEX(Products!$D$2:$D$9,MATCH(E1320,Products!$A$2:$A$9,0))</f>
        <v>39</v>
      </c>
      <c r="J1320" s="7" t="n">
        <v>0.1</v>
      </c>
      <c r="K1320" s="8" t="n">
        <f aca="false">H1320*I1320*(1-J1320)</f>
        <v>70.2</v>
      </c>
      <c r="L1320" s="6" t="n">
        <f aca="false">H1320*INDEX(Products!$E$2:$E$9,MATCH(E1320,Products!$A$2:$A$9,0))</f>
        <v>63</v>
      </c>
      <c r="M1320" s="8" t="n">
        <f aca="false">K1320-L1320</f>
        <v>7.2</v>
      </c>
      <c r="N1320" s="2" t="s">
        <v>19</v>
      </c>
      <c r="O1320" s="2" t="s">
        <v>20</v>
      </c>
    </row>
    <row r="1321" customFormat="false" ht="15" hidden="false" customHeight="false" outlineLevel="0" collapsed="false">
      <c r="A1321" s="2" t="s">
        <v>1375</v>
      </c>
      <c r="B1321" s="3" t="n">
        <v>46198</v>
      </c>
      <c r="C1321" s="2" t="s">
        <v>47</v>
      </c>
      <c r="D1321" s="2" t="s">
        <v>157</v>
      </c>
      <c r="E1321" s="2" t="s">
        <v>32</v>
      </c>
      <c r="F1321" s="4" t="str">
        <f aca="false">INDEX(Products!$B$2:$B$9,MATCH(E1321,Products!$A$2:$A$9,0))</f>
        <v>Analytics Plus</v>
      </c>
      <c r="G1321" s="4" t="str">
        <f aca="false">INDEX(Products!$C$2:$C$9,MATCH(E1321,Products!$A$2:$A$9,0))</f>
        <v>Software</v>
      </c>
      <c r="H1321" s="5" t="n">
        <v>2</v>
      </c>
      <c r="I1321" s="6" t="n">
        <f aca="false">INDEX(Products!$D$2:$D$9,MATCH(E1321,Products!$A$2:$A$9,0))</f>
        <v>290</v>
      </c>
      <c r="J1321" s="7" t="n">
        <v>0.2</v>
      </c>
      <c r="K1321" s="8" t="n">
        <f aca="false">H1321*I1321*(1-J1321)</f>
        <v>464</v>
      </c>
      <c r="L1321" s="6" t="n">
        <f aca="false">H1321*INDEX(Products!$E$2:$E$9,MATCH(E1321,Products!$A$2:$A$9,0))</f>
        <v>82</v>
      </c>
      <c r="M1321" s="8" t="n">
        <f aca="false">K1321-L1321</f>
        <v>382</v>
      </c>
      <c r="N1321" s="2" t="s">
        <v>19</v>
      </c>
      <c r="O1321" s="2" t="s">
        <v>72</v>
      </c>
    </row>
    <row r="1322" customFormat="false" ht="15" hidden="false" customHeight="false" outlineLevel="0" collapsed="false">
      <c r="A1322" s="2" t="s">
        <v>1376</v>
      </c>
      <c r="B1322" s="3" t="n">
        <v>46199</v>
      </c>
      <c r="C1322" s="2" t="s">
        <v>30</v>
      </c>
      <c r="D1322" s="2" t="s">
        <v>77</v>
      </c>
      <c r="E1322" s="2" t="s">
        <v>32</v>
      </c>
      <c r="F1322" s="4" t="str">
        <f aca="false">INDEX(Products!$B$2:$B$9,MATCH(E1322,Products!$A$2:$A$9,0))</f>
        <v>Analytics Plus</v>
      </c>
      <c r="G1322" s="4" t="str">
        <f aca="false">INDEX(Products!$C$2:$C$9,MATCH(E1322,Products!$A$2:$A$9,0))</f>
        <v>Software</v>
      </c>
      <c r="H1322" s="5" t="n">
        <v>1</v>
      </c>
      <c r="I1322" s="6" t="n">
        <f aca="false">INDEX(Products!$D$2:$D$9,MATCH(E1322,Products!$A$2:$A$9,0))</f>
        <v>290</v>
      </c>
      <c r="J1322" s="7" t="n">
        <v>0.05</v>
      </c>
      <c r="K1322" s="8" t="n">
        <f aca="false">H1322*I1322*(1-J1322)</f>
        <v>275.5</v>
      </c>
      <c r="L1322" s="6" t="n">
        <f aca="false">H1322*INDEX(Products!$E$2:$E$9,MATCH(E1322,Products!$A$2:$A$9,0))</f>
        <v>41</v>
      </c>
      <c r="M1322" s="8" t="n">
        <f aca="false">K1322-L1322</f>
        <v>234.5</v>
      </c>
      <c r="N1322" s="2" t="s">
        <v>28</v>
      </c>
      <c r="O1322" s="2" t="s">
        <v>33</v>
      </c>
    </row>
    <row r="1323" customFormat="false" ht="15" hidden="false" customHeight="false" outlineLevel="0" collapsed="false">
      <c r="A1323" s="2" t="s">
        <v>1377</v>
      </c>
      <c r="B1323" s="3" t="n">
        <v>46199</v>
      </c>
      <c r="C1323" s="2" t="s">
        <v>47</v>
      </c>
      <c r="D1323" s="2" t="s">
        <v>71</v>
      </c>
      <c r="E1323" s="2" t="s">
        <v>68</v>
      </c>
      <c r="F1323" s="4" t="str">
        <f aca="false">INDEX(Products!$B$2:$B$9,MATCH(E1323,Products!$A$2:$A$9,0))</f>
        <v>Premium Support</v>
      </c>
      <c r="G1323" s="4" t="str">
        <f aca="false">INDEX(Products!$C$2:$C$9,MATCH(E1323,Products!$A$2:$A$9,0))</f>
        <v>Services</v>
      </c>
      <c r="H1323" s="5" t="n">
        <v>2</v>
      </c>
      <c r="I1323" s="6" t="n">
        <f aca="false">INDEX(Products!$D$2:$D$9,MATCH(E1323,Products!$A$2:$A$9,0))</f>
        <v>600</v>
      </c>
      <c r="J1323" s="7" t="n">
        <v>0.1</v>
      </c>
      <c r="K1323" s="8" t="n">
        <f aca="false">H1323*I1323*(1-J1323)</f>
        <v>1080</v>
      </c>
      <c r="L1323" s="6" t="n">
        <f aca="false">H1323*INDEX(Products!$E$2:$E$9,MATCH(E1323,Products!$A$2:$A$9,0))</f>
        <v>790</v>
      </c>
      <c r="M1323" s="8" t="n">
        <f aca="false">K1323-L1323</f>
        <v>290</v>
      </c>
      <c r="N1323" s="2" t="s">
        <v>28</v>
      </c>
      <c r="O1323" s="2" t="s">
        <v>72</v>
      </c>
    </row>
    <row r="1324" customFormat="false" ht="15" hidden="false" customHeight="false" outlineLevel="0" collapsed="false">
      <c r="A1324" s="2" t="s">
        <v>1378</v>
      </c>
      <c r="B1324" s="3" t="n">
        <v>46200</v>
      </c>
      <c r="C1324" s="2" t="s">
        <v>59</v>
      </c>
      <c r="D1324" s="2" t="s">
        <v>101</v>
      </c>
      <c r="E1324" s="2" t="s">
        <v>23</v>
      </c>
      <c r="F1324" s="4" t="str">
        <f aca="false">INDEX(Products!$B$2:$B$9,MATCH(E1324,Products!$A$2:$A$9,0))</f>
        <v>Sensor Hub S</v>
      </c>
      <c r="G1324" s="4" t="str">
        <f aca="false">INDEX(Products!$C$2:$C$9,MATCH(E1324,Products!$A$2:$A$9,0))</f>
        <v>Hardware</v>
      </c>
      <c r="H1324" s="5" t="n">
        <v>10</v>
      </c>
      <c r="I1324" s="6" t="n">
        <f aca="false">INDEX(Products!$D$2:$D$9,MATCH(E1324,Products!$A$2:$A$9,0))</f>
        <v>189</v>
      </c>
      <c r="J1324" s="7" t="n">
        <v>0</v>
      </c>
      <c r="K1324" s="8" t="n">
        <f aca="false">H1324*I1324*(1-J1324)</f>
        <v>1890</v>
      </c>
      <c r="L1324" s="6" t="n">
        <f aca="false">H1324*INDEX(Products!$E$2:$E$9,MATCH(E1324,Products!$A$2:$A$9,0))</f>
        <v>980</v>
      </c>
      <c r="M1324" s="8" t="n">
        <f aca="false">K1324-L1324</f>
        <v>910</v>
      </c>
      <c r="N1324" s="2" t="s">
        <v>28</v>
      </c>
      <c r="O1324" s="2" t="s">
        <v>62</v>
      </c>
    </row>
    <row r="1325" customFormat="false" ht="15" hidden="false" customHeight="false" outlineLevel="0" collapsed="false">
      <c r="A1325" s="2" t="s">
        <v>1379</v>
      </c>
      <c r="B1325" s="3" t="n">
        <v>46202</v>
      </c>
      <c r="C1325" s="2" t="s">
        <v>41</v>
      </c>
      <c r="D1325" s="2" t="s">
        <v>66</v>
      </c>
      <c r="E1325" s="2" t="s">
        <v>23</v>
      </c>
      <c r="F1325" s="4" t="str">
        <f aca="false">INDEX(Products!$B$2:$B$9,MATCH(E1325,Products!$A$2:$A$9,0))</f>
        <v>Sensor Hub S</v>
      </c>
      <c r="G1325" s="4" t="str">
        <f aca="false">INDEX(Products!$C$2:$C$9,MATCH(E1325,Products!$A$2:$A$9,0))</f>
        <v>Hardware</v>
      </c>
      <c r="H1325" s="5" t="n">
        <v>8</v>
      </c>
      <c r="I1325" s="6" t="n">
        <f aca="false">INDEX(Products!$D$2:$D$9,MATCH(E1325,Products!$A$2:$A$9,0))</f>
        <v>189</v>
      </c>
      <c r="J1325" s="7" t="n">
        <v>0.15</v>
      </c>
      <c r="K1325" s="8" t="n">
        <f aca="false">H1325*I1325*(1-J1325)</f>
        <v>1285.2</v>
      </c>
      <c r="L1325" s="6" t="n">
        <f aca="false">H1325*INDEX(Products!$E$2:$E$9,MATCH(E1325,Products!$A$2:$A$9,0))</f>
        <v>784</v>
      </c>
      <c r="M1325" s="8" t="n">
        <f aca="false">K1325-L1325</f>
        <v>501.2</v>
      </c>
      <c r="N1325" s="2" t="s">
        <v>28</v>
      </c>
      <c r="O1325" s="2" t="s">
        <v>43</v>
      </c>
    </row>
    <row r="1326" customFormat="false" ht="15" hidden="false" customHeight="false" outlineLevel="0" collapsed="false">
      <c r="A1326" s="2" t="s">
        <v>1380</v>
      </c>
      <c r="B1326" s="3" t="n">
        <v>46202</v>
      </c>
      <c r="C1326" s="2" t="s">
        <v>16</v>
      </c>
      <c r="D1326" s="2" t="s">
        <v>22</v>
      </c>
      <c r="E1326" s="2" t="s">
        <v>18</v>
      </c>
      <c r="F1326" s="4" t="str">
        <f aca="false">INDEX(Products!$B$2:$B$9,MATCH(E1326,Products!$A$2:$A$9,0))</f>
        <v>Sensor Hub Pro</v>
      </c>
      <c r="G1326" s="4" t="str">
        <f aca="false">INDEX(Products!$C$2:$C$9,MATCH(E1326,Products!$A$2:$A$9,0))</f>
        <v>Hardware</v>
      </c>
      <c r="H1326" s="5" t="n">
        <v>2</v>
      </c>
      <c r="I1326" s="6" t="n">
        <f aca="false">INDEX(Products!$D$2:$D$9,MATCH(E1326,Products!$A$2:$A$9,0))</f>
        <v>349</v>
      </c>
      <c r="J1326" s="7" t="n">
        <v>0.1</v>
      </c>
      <c r="K1326" s="8" t="n">
        <f aca="false">H1326*I1326*(1-J1326)</f>
        <v>628.2</v>
      </c>
      <c r="L1326" s="6" t="n">
        <f aca="false">H1326*INDEX(Products!$E$2:$E$9,MATCH(E1326,Products!$A$2:$A$9,0))</f>
        <v>402</v>
      </c>
      <c r="M1326" s="8" t="n">
        <f aca="false">K1326-L1326</f>
        <v>226.2</v>
      </c>
      <c r="N1326" s="2" t="s">
        <v>28</v>
      </c>
      <c r="O1326" s="2" t="s">
        <v>20</v>
      </c>
    </row>
    <row r="1327" customFormat="false" ht="15" hidden="false" customHeight="false" outlineLevel="0" collapsed="false">
      <c r="A1327" s="2" t="s">
        <v>1381</v>
      </c>
      <c r="B1327" s="3" t="n">
        <v>46203</v>
      </c>
      <c r="C1327" s="2" t="s">
        <v>41</v>
      </c>
      <c r="D1327" s="2" t="s">
        <v>42</v>
      </c>
      <c r="E1327" s="2" t="s">
        <v>32</v>
      </c>
      <c r="F1327" s="4" t="str">
        <f aca="false">INDEX(Products!$B$2:$B$9,MATCH(E1327,Products!$A$2:$A$9,0))</f>
        <v>Analytics Plus</v>
      </c>
      <c r="G1327" s="4" t="str">
        <f aca="false">INDEX(Products!$C$2:$C$9,MATCH(E1327,Products!$A$2:$A$9,0))</f>
        <v>Software</v>
      </c>
      <c r="H1327" s="5" t="n">
        <v>2</v>
      </c>
      <c r="I1327" s="6" t="n">
        <f aca="false">INDEX(Products!$D$2:$D$9,MATCH(E1327,Products!$A$2:$A$9,0))</f>
        <v>290</v>
      </c>
      <c r="J1327" s="7" t="n">
        <v>0.1</v>
      </c>
      <c r="K1327" s="8" t="n">
        <f aca="false">H1327*I1327*(1-J1327)</f>
        <v>522</v>
      </c>
      <c r="L1327" s="6" t="n">
        <f aca="false">H1327*INDEX(Products!$E$2:$E$9,MATCH(E1327,Products!$A$2:$A$9,0))</f>
        <v>82</v>
      </c>
      <c r="M1327" s="8" t="n">
        <f aca="false">K1327-L1327</f>
        <v>440</v>
      </c>
      <c r="N1327" s="2" t="s">
        <v>28</v>
      </c>
      <c r="O1327" s="2" t="s">
        <v>43</v>
      </c>
    </row>
    <row r="1328" customFormat="false" ht="15" hidden="false" customHeight="false" outlineLevel="0" collapsed="false">
      <c r="A1328" s="2" t="s">
        <v>1382</v>
      </c>
      <c r="B1328" s="3" t="n">
        <v>46203</v>
      </c>
      <c r="C1328" s="2" t="s">
        <v>47</v>
      </c>
      <c r="D1328" s="2" t="s">
        <v>48</v>
      </c>
      <c r="E1328" s="2" t="s">
        <v>32</v>
      </c>
      <c r="F1328" s="4" t="str">
        <f aca="false">INDEX(Products!$B$2:$B$9,MATCH(E1328,Products!$A$2:$A$9,0))</f>
        <v>Analytics Plus</v>
      </c>
      <c r="G1328" s="4" t="str">
        <f aca="false">INDEX(Products!$C$2:$C$9,MATCH(E1328,Products!$A$2:$A$9,0))</f>
        <v>Software</v>
      </c>
      <c r="H1328" s="5" t="n">
        <v>1</v>
      </c>
      <c r="I1328" s="6" t="n">
        <f aca="false">INDEX(Products!$D$2:$D$9,MATCH(E1328,Products!$A$2:$A$9,0))</f>
        <v>290</v>
      </c>
      <c r="J1328" s="7" t="n">
        <v>0</v>
      </c>
      <c r="K1328" s="8" t="n">
        <f aca="false">H1328*I1328*(1-J1328)</f>
        <v>290</v>
      </c>
      <c r="L1328" s="6" t="n">
        <f aca="false">H1328*INDEX(Products!$E$2:$E$9,MATCH(E1328,Products!$A$2:$A$9,0))</f>
        <v>41</v>
      </c>
      <c r="M1328" s="8" t="n">
        <f aca="false">K1328-L1328</f>
        <v>249</v>
      </c>
      <c r="N1328" s="2" t="s">
        <v>28</v>
      </c>
      <c r="O1328" s="2" t="s">
        <v>72</v>
      </c>
    </row>
    <row r="1329" customFormat="false" ht="15" hidden="false" customHeight="false" outlineLevel="0" collapsed="false">
      <c r="A1329" s="2" t="s">
        <v>1383</v>
      </c>
      <c r="B1329" s="3" t="n">
        <v>46203</v>
      </c>
      <c r="C1329" s="2" t="s">
        <v>16</v>
      </c>
      <c r="D1329" s="2" t="s">
        <v>25</v>
      </c>
      <c r="E1329" s="2" t="s">
        <v>23</v>
      </c>
      <c r="F1329" s="4" t="str">
        <f aca="false">INDEX(Products!$B$2:$B$9,MATCH(E1329,Products!$A$2:$A$9,0))</f>
        <v>Sensor Hub S</v>
      </c>
      <c r="G1329" s="4" t="str">
        <f aca="false">INDEX(Products!$C$2:$C$9,MATCH(E1329,Products!$A$2:$A$9,0))</f>
        <v>Hardware</v>
      </c>
      <c r="H1329" s="5" t="n">
        <v>5</v>
      </c>
      <c r="I1329" s="6" t="n">
        <f aca="false">INDEX(Products!$D$2:$D$9,MATCH(E1329,Products!$A$2:$A$9,0))</f>
        <v>189</v>
      </c>
      <c r="J1329" s="7" t="n">
        <v>0</v>
      </c>
      <c r="K1329" s="8" t="n">
        <f aca="false">H1329*I1329*(1-J1329)</f>
        <v>945</v>
      </c>
      <c r="L1329" s="6" t="n">
        <f aca="false">H1329*INDEX(Products!$E$2:$E$9,MATCH(E1329,Products!$A$2:$A$9,0))</f>
        <v>490</v>
      </c>
      <c r="M1329" s="8" t="n">
        <f aca="false">K1329-L1329</f>
        <v>455</v>
      </c>
      <c r="N1329" s="2" t="s">
        <v>28</v>
      </c>
      <c r="O1329" s="2" t="s">
        <v>36</v>
      </c>
    </row>
    <row r="1330" customFormat="false" ht="15" hidden="false" customHeight="false" outlineLevel="0" collapsed="false">
      <c r="A1330" s="2" t="s">
        <v>1384</v>
      </c>
      <c r="B1330" s="3" t="n">
        <v>46203</v>
      </c>
      <c r="C1330" s="2" t="s">
        <v>41</v>
      </c>
      <c r="D1330" s="2" t="s">
        <v>66</v>
      </c>
      <c r="E1330" s="2" t="s">
        <v>32</v>
      </c>
      <c r="F1330" s="4" t="str">
        <f aca="false">INDEX(Products!$B$2:$B$9,MATCH(E1330,Products!$A$2:$A$9,0))</f>
        <v>Analytics Plus</v>
      </c>
      <c r="G1330" s="4" t="str">
        <f aca="false">INDEX(Products!$C$2:$C$9,MATCH(E1330,Products!$A$2:$A$9,0))</f>
        <v>Software</v>
      </c>
      <c r="H1330" s="5" t="n">
        <v>1</v>
      </c>
      <c r="I1330" s="6" t="n">
        <f aca="false">INDEX(Products!$D$2:$D$9,MATCH(E1330,Products!$A$2:$A$9,0))</f>
        <v>290</v>
      </c>
      <c r="J1330" s="7" t="n">
        <v>0.1</v>
      </c>
      <c r="K1330" s="8" t="n">
        <f aca="false">H1330*I1330*(1-J1330)</f>
        <v>261</v>
      </c>
      <c r="L1330" s="6" t="n">
        <f aca="false">H1330*INDEX(Products!$E$2:$E$9,MATCH(E1330,Products!$A$2:$A$9,0))</f>
        <v>41</v>
      </c>
      <c r="M1330" s="8" t="n">
        <f aca="false">K1330-L1330</f>
        <v>220</v>
      </c>
      <c r="N1330" s="2" t="s">
        <v>28</v>
      </c>
      <c r="O1330" s="2" t="s">
        <v>52</v>
      </c>
    </row>
    <row r="1331" customFormat="false" ht="15" hidden="false" customHeight="false" outlineLevel="0" collapsed="false">
      <c r="A1331" s="2" t="s">
        <v>1385</v>
      </c>
      <c r="B1331" s="3" t="n">
        <v>46203</v>
      </c>
      <c r="C1331" s="2" t="s">
        <v>30</v>
      </c>
      <c r="D1331" s="2" t="s">
        <v>128</v>
      </c>
      <c r="E1331" s="2" t="s">
        <v>32</v>
      </c>
      <c r="F1331" s="4" t="str">
        <f aca="false">INDEX(Products!$B$2:$B$9,MATCH(E1331,Products!$A$2:$A$9,0))</f>
        <v>Analytics Plus</v>
      </c>
      <c r="G1331" s="4" t="str">
        <f aca="false">INDEX(Products!$C$2:$C$9,MATCH(E1331,Products!$A$2:$A$9,0))</f>
        <v>Software</v>
      </c>
      <c r="H1331" s="5" t="n">
        <v>1</v>
      </c>
      <c r="I1331" s="6" t="n">
        <f aca="false">INDEX(Products!$D$2:$D$9,MATCH(E1331,Products!$A$2:$A$9,0))</f>
        <v>290</v>
      </c>
      <c r="J1331" s="7" t="n">
        <v>0</v>
      </c>
      <c r="K1331" s="8" t="n">
        <f aca="false">H1331*I1331*(1-J1331)</f>
        <v>290</v>
      </c>
      <c r="L1331" s="6" t="n">
        <f aca="false">H1331*INDEX(Products!$E$2:$E$9,MATCH(E1331,Products!$A$2:$A$9,0))</f>
        <v>41</v>
      </c>
      <c r="M1331" s="8" t="n">
        <f aca="false">K1331-L1331</f>
        <v>249</v>
      </c>
      <c r="N1331" s="2" t="s">
        <v>28</v>
      </c>
      <c r="O1331" s="2" t="s">
        <v>64</v>
      </c>
    </row>
  </sheetData>
  <autoFilter ref="A1:O1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1386</v>
      </c>
      <c r="E1" s="1" t="s">
        <v>1387</v>
      </c>
      <c r="F1" s="1" t="s">
        <v>1388</v>
      </c>
    </row>
    <row r="2" customFormat="false" ht="15" hidden="false" customHeight="false" outlineLevel="0" collapsed="false">
      <c r="A2" s="2" t="s">
        <v>23</v>
      </c>
      <c r="B2" s="2" t="s">
        <v>1389</v>
      </c>
      <c r="C2" s="2" t="s">
        <v>1390</v>
      </c>
      <c r="D2" s="9" t="n">
        <v>189</v>
      </c>
      <c r="E2" s="9" t="n">
        <v>98</v>
      </c>
      <c r="F2" s="10" t="n">
        <f aca="false">IFERROR((D2-E2)/D2,0)</f>
        <v>0.481481481481481</v>
      </c>
    </row>
    <row r="3" customFormat="false" ht="15" hidden="false" customHeight="false" outlineLevel="0" collapsed="false">
      <c r="A3" s="2" t="s">
        <v>18</v>
      </c>
      <c r="B3" s="2" t="s">
        <v>1391</v>
      </c>
      <c r="C3" s="2" t="s">
        <v>1390</v>
      </c>
      <c r="D3" s="9" t="n">
        <v>349</v>
      </c>
      <c r="E3" s="9" t="n">
        <v>201</v>
      </c>
      <c r="F3" s="10" t="n">
        <f aca="false">IFERROR((D3-E3)/D3,0)</f>
        <v>0.424068767908309</v>
      </c>
    </row>
    <row r="4" customFormat="false" ht="15" hidden="false" customHeight="false" outlineLevel="0" collapsed="false">
      <c r="A4" s="2" t="s">
        <v>57</v>
      </c>
      <c r="B4" s="2" t="s">
        <v>1392</v>
      </c>
      <c r="C4" s="2" t="s">
        <v>1390</v>
      </c>
      <c r="D4" s="9" t="n">
        <v>899</v>
      </c>
      <c r="E4" s="9" t="n">
        <v>612</v>
      </c>
      <c r="F4" s="10" t="n">
        <f aca="false">IFERROR((D4-E4)/D4,0)</f>
        <v>0.319243604004449</v>
      </c>
    </row>
    <row r="5" customFormat="false" ht="15" hidden="false" customHeight="false" outlineLevel="0" collapsed="false">
      <c r="A5" s="2" t="s">
        <v>26</v>
      </c>
      <c r="B5" s="2" t="s">
        <v>1393</v>
      </c>
      <c r="C5" s="2" t="s">
        <v>1394</v>
      </c>
      <c r="D5" s="9" t="n">
        <v>120</v>
      </c>
      <c r="E5" s="9" t="n">
        <v>18</v>
      </c>
      <c r="F5" s="10" t="n">
        <f aca="false">IFERROR((D5-E5)/D5,0)</f>
        <v>0.85</v>
      </c>
    </row>
    <row r="6" customFormat="false" ht="15" hidden="false" customHeight="false" outlineLevel="0" collapsed="false">
      <c r="A6" s="2" t="s">
        <v>32</v>
      </c>
      <c r="B6" s="2" t="s">
        <v>1395</v>
      </c>
      <c r="C6" s="2" t="s">
        <v>1394</v>
      </c>
      <c r="D6" s="9" t="n">
        <v>290</v>
      </c>
      <c r="E6" s="9" t="n">
        <v>41</v>
      </c>
      <c r="F6" s="10" t="n">
        <f aca="false">IFERROR((D6-E6)/D6,0)</f>
        <v>0.858620689655173</v>
      </c>
    </row>
    <row r="7" customFormat="false" ht="15" hidden="false" customHeight="false" outlineLevel="0" collapsed="false">
      <c r="A7" s="2" t="s">
        <v>61</v>
      </c>
      <c r="B7" s="2" t="s">
        <v>1396</v>
      </c>
      <c r="C7" s="2" t="s">
        <v>1397</v>
      </c>
      <c r="D7" s="9" t="n">
        <v>450</v>
      </c>
      <c r="E7" s="9" t="n">
        <v>310</v>
      </c>
      <c r="F7" s="10" t="n">
        <f aca="false">IFERROR((D7-E7)/D7,0)</f>
        <v>0.311111111111111</v>
      </c>
    </row>
    <row r="8" customFormat="false" ht="15" hidden="false" customHeight="false" outlineLevel="0" collapsed="false">
      <c r="A8" s="2" t="s">
        <v>68</v>
      </c>
      <c r="B8" s="2" t="s">
        <v>1398</v>
      </c>
      <c r="C8" s="2" t="s">
        <v>1397</v>
      </c>
      <c r="D8" s="9" t="n">
        <v>600</v>
      </c>
      <c r="E8" s="9" t="n">
        <v>395</v>
      </c>
      <c r="F8" s="10" t="n">
        <f aca="false">IFERROR((D8-E8)/D8,0)</f>
        <v>0.341666666666667</v>
      </c>
    </row>
    <row r="9" customFormat="false" ht="15" hidden="false" customHeight="false" outlineLevel="0" collapsed="false">
      <c r="A9" s="2" t="s">
        <v>49</v>
      </c>
      <c r="B9" s="2" t="s">
        <v>1399</v>
      </c>
      <c r="C9" s="2" t="s">
        <v>1400</v>
      </c>
      <c r="D9" s="9" t="n">
        <v>39</v>
      </c>
      <c r="E9" s="9" t="n">
        <v>31.5</v>
      </c>
      <c r="F9" s="10" t="n">
        <f aca="false">IFERROR((D9-E9)/D9,0)</f>
        <v>0.192307692307692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2</v>
      </c>
      <c r="B1" s="1" t="s">
        <v>1401</v>
      </c>
      <c r="C1" s="1" t="s">
        <v>1402</v>
      </c>
      <c r="D1" s="1" t="s">
        <v>1403</v>
      </c>
      <c r="E1" s="1" t="s">
        <v>1404</v>
      </c>
      <c r="F1" s="1" t="s">
        <v>1405</v>
      </c>
      <c r="G1" s="1" t="s">
        <v>1406</v>
      </c>
      <c r="H1" s="1" t="s">
        <v>1407</v>
      </c>
    </row>
    <row r="2" customFormat="false" ht="15" hidden="false" customHeight="false" outlineLevel="0" collapsed="false">
      <c r="A2" s="2" t="s">
        <v>16</v>
      </c>
      <c r="B2" s="2" t="s">
        <v>1408</v>
      </c>
      <c r="C2" s="11" t="n">
        <v>45658</v>
      </c>
      <c r="D2" s="11" t="n">
        <v>45747</v>
      </c>
      <c r="E2" s="12" t="n">
        <v>89000</v>
      </c>
      <c r="F2" s="13" t="n">
        <f aca="false">SUMIFS(Orders!$K$2:$K$1331,Orders!$C$2:$C$1331,A2,Orders!$B$2:$B$1331,"&gt;="&amp;C2,Orders!$B$2:$B$1331,"&lt;="&amp;D2)</f>
        <v>78351.1</v>
      </c>
      <c r="G2" s="10" t="n">
        <f aca="false">IFERROR(F2/E2,0)</f>
        <v>0.880349438202247</v>
      </c>
      <c r="H2" s="14" t="n">
        <f aca="false">F2-E2</f>
        <v>-10648.9</v>
      </c>
    </row>
    <row r="3" customFormat="false" ht="15" hidden="false" customHeight="false" outlineLevel="0" collapsed="false">
      <c r="A3" s="2" t="s">
        <v>16</v>
      </c>
      <c r="B3" s="2" t="s">
        <v>1409</v>
      </c>
      <c r="C3" s="11" t="n">
        <v>45748</v>
      </c>
      <c r="D3" s="11" t="n">
        <v>45838</v>
      </c>
      <c r="E3" s="12" t="n">
        <v>83000</v>
      </c>
      <c r="F3" s="13" t="n">
        <f aca="false">SUMIFS(Orders!$K$2:$K$1331,Orders!$C$2:$C$1331,A3,Orders!$B$2:$B$1331,"&gt;="&amp;C3,Orders!$B$2:$B$1331,"&lt;="&amp;D3)</f>
        <v>77750.35</v>
      </c>
      <c r="G3" s="10" t="n">
        <f aca="false">IFERROR(F3/E3,0)</f>
        <v>0.936751204819277</v>
      </c>
      <c r="H3" s="14" t="n">
        <f aca="false">F3-E3</f>
        <v>-5249.64999999999</v>
      </c>
    </row>
    <row r="4" customFormat="false" ht="15" hidden="false" customHeight="false" outlineLevel="0" collapsed="false">
      <c r="A4" s="2" t="s">
        <v>16</v>
      </c>
      <c r="B4" s="2" t="s">
        <v>1410</v>
      </c>
      <c r="C4" s="11" t="n">
        <v>45839</v>
      </c>
      <c r="D4" s="11" t="n">
        <v>45930</v>
      </c>
      <c r="E4" s="12" t="n">
        <v>80000</v>
      </c>
      <c r="F4" s="13" t="n">
        <f aca="false">SUMIFS(Orders!$K$2:$K$1331,Orders!$C$2:$C$1331,A4,Orders!$B$2:$B$1331,"&gt;="&amp;C4,Orders!$B$2:$B$1331,"&lt;="&amp;D4)</f>
        <v>75015</v>
      </c>
      <c r="G4" s="10" t="n">
        <f aca="false">IFERROR(F4/E4,0)</f>
        <v>0.9376875</v>
      </c>
      <c r="H4" s="14" t="n">
        <f aca="false">F4-E4</f>
        <v>-4985</v>
      </c>
    </row>
    <row r="5" customFormat="false" ht="15" hidden="false" customHeight="false" outlineLevel="0" collapsed="false">
      <c r="A5" s="2" t="s">
        <v>16</v>
      </c>
      <c r="B5" s="2" t="s">
        <v>1411</v>
      </c>
      <c r="C5" s="11" t="n">
        <v>45931</v>
      </c>
      <c r="D5" s="11" t="n">
        <v>46022</v>
      </c>
      <c r="E5" s="12" t="n">
        <v>119000</v>
      </c>
      <c r="F5" s="13" t="n">
        <f aca="false">SUMIFS(Orders!$K$2:$K$1331,Orders!$C$2:$C$1331,A5,Orders!$B$2:$B$1331,"&gt;="&amp;C5,Orders!$B$2:$B$1331,"&lt;="&amp;D5)</f>
        <v>107740.5</v>
      </c>
      <c r="G5" s="10" t="n">
        <f aca="false">IFERROR(F5/E5,0)</f>
        <v>0.905382352941176</v>
      </c>
      <c r="H5" s="14" t="n">
        <f aca="false">F5-E5</f>
        <v>-11259.5</v>
      </c>
    </row>
    <row r="6" customFormat="false" ht="15" hidden="false" customHeight="false" outlineLevel="0" collapsed="false">
      <c r="A6" s="2" t="s">
        <v>16</v>
      </c>
      <c r="B6" s="2" t="s">
        <v>1412</v>
      </c>
      <c r="C6" s="11" t="n">
        <v>46023</v>
      </c>
      <c r="D6" s="11" t="n">
        <v>46112</v>
      </c>
      <c r="E6" s="12" t="n">
        <v>69000</v>
      </c>
      <c r="F6" s="13" t="n">
        <f aca="false">SUMIFS(Orders!$K$2:$K$1331,Orders!$C$2:$C$1331,A6,Orders!$B$2:$B$1331,"&gt;="&amp;C6,Orders!$B$2:$B$1331,"&lt;="&amp;D6)</f>
        <v>62391.1</v>
      </c>
      <c r="G6" s="10" t="n">
        <f aca="false">IFERROR(F6/E6,0)</f>
        <v>0.90421884057971</v>
      </c>
      <c r="H6" s="14" t="n">
        <f aca="false">F6-E6</f>
        <v>-6608.9</v>
      </c>
    </row>
    <row r="7" customFormat="false" ht="15" hidden="false" customHeight="false" outlineLevel="0" collapsed="false">
      <c r="A7" s="2" t="s">
        <v>16</v>
      </c>
      <c r="B7" s="2" t="s">
        <v>1413</v>
      </c>
      <c r="C7" s="11" t="n">
        <v>46113</v>
      </c>
      <c r="D7" s="11" t="n">
        <v>46203</v>
      </c>
      <c r="E7" s="12" t="n">
        <v>73000</v>
      </c>
      <c r="F7" s="13" t="n">
        <f aca="false">SUMIFS(Orders!$K$2:$K$1331,Orders!$C$2:$C$1331,A7,Orders!$B$2:$B$1331,"&gt;="&amp;C7,Orders!$B$2:$B$1331,"&lt;="&amp;D7)</f>
        <v>61513.45</v>
      </c>
      <c r="G7" s="10" t="n">
        <f aca="false">IFERROR(F7/E7,0)</f>
        <v>0.84265</v>
      </c>
      <c r="H7" s="14" t="n">
        <f aca="false">F7-E7</f>
        <v>-11486.55</v>
      </c>
    </row>
    <row r="8" customFormat="false" ht="15" hidden="false" customHeight="false" outlineLevel="0" collapsed="false">
      <c r="A8" s="2" t="s">
        <v>47</v>
      </c>
      <c r="B8" s="2" t="s">
        <v>1408</v>
      </c>
      <c r="C8" s="11" t="n">
        <v>45658</v>
      </c>
      <c r="D8" s="11" t="n">
        <v>45747</v>
      </c>
      <c r="E8" s="12" t="n">
        <v>71000</v>
      </c>
      <c r="F8" s="13" t="n">
        <f aca="false">SUMIFS(Orders!$K$2:$K$1331,Orders!$C$2:$C$1331,A8,Orders!$B$2:$B$1331,"&gt;="&amp;C8,Orders!$B$2:$B$1331,"&lt;="&amp;D8)</f>
        <v>71407.5</v>
      </c>
      <c r="G8" s="10" t="n">
        <f aca="false">IFERROR(F8/E8,0)</f>
        <v>1.00573943661972</v>
      </c>
      <c r="H8" s="14" t="n">
        <f aca="false">F8-E8</f>
        <v>407.5</v>
      </c>
    </row>
    <row r="9" customFormat="false" ht="15" hidden="false" customHeight="false" outlineLevel="0" collapsed="false">
      <c r="A9" s="2" t="s">
        <v>47</v>
      </c>
      <c r="B9" s="2" t="s">
        <v>1409</v>
      </c>
      <c r="C9" s="11" t="n">
        <v>45748</v>
      </c>
      <c r="D9" s="11" t="n">
        <v>45838</v>
      </c>
      <c r="E9" s="12" t="n">
        <v>95500</v>
      </c>
      <c r="F9" s="13" t="n">
        <f aca="false">SUMIFS(Orders!$K$2:$K$1331,Orders!$C$2:$C$1331,A9,Orders!$B$2:$B$1331,"&gt;="&amp;C9,Orders!$B$2:$B$1331,"&lt;="&amp;D9)</f>
        <v>92630.65</v>
      </c>
      <c r="G9" s="10" t="n">
        <f aca="false">IFERROR(F9/E9,0)</f>
        <v>0.96995445026178</v>
      </c>
      <c r="H9" s="14" t="n">
        <f aca="false">F9-E9</f>
        <v>-2869.35000000001</v>
      </c>
    </row>
    <row r="10" customFormat="false" ht="15" hidden="false" customHeight="false" outlineLevel="0" collapsed="false">
      <c r="A10" s="2" t="s">
        <v>47</v>
      </c>
      <c r="B10" s="2" t="s">
        <v>1410</v>
      </c>
      <c r="C10" s="11" t="n">
        <v>45839</v>
      </c>
      <c r="D10" s="11" t="n">
        <v>45930</v>
      </c>
      <c r="E10" s="12" t="n">
        <v>54500</v>
      </c>
      <c r="F10" s="13" t="n">
        <f aca="false">SUMIFS(Orders!$K$2:$K$1331,Orders!$C$2:$C$1331,A10,Orders!$B$2:$B$1331,"&gt;="&amp;C10,Orders!$B$2:$B$1331,"&lt;="&amp;D10)</f>
        <v>56503</v>
      </c>
      <c r="G10" s="10" t="n">
        <f aca="false">IFERROR(F10/E10,0)</f>
        <v>1.03675229357798</v>
      </c>
      <c r="H10" s="14" t="n">
        <f aca="false">F10-E10</f>
        <v>2003</v>
      </c>
    </row>
    <row r="11" customFormat="false" ht="15" hidden="false" customHeight="false" outlineLevel="0" collapsed="false">
      <c r="A11" s="2" t="s">
        <v>47</v>
      </c>
      <c r="B11" s="2" t="s">
        <v>1411</v>
      </c>
      <c r="C11" s="11" t="n">
        <v>45931</v>
      </c>
      <c r="D11" s="11" t="n">
        <v>46022</v>
      </c>
      <c r="E11" s="12" t="n">
        <v>119000</v>
      </c>
      <c r="F11" s="13" t="n">
        <f aca="false">SUMIFS(Orders!$K$2:$K$1331,Orders!$C$2:$C$1331,A11,Orders!$B$2:$B$1331,"&gt;="&amp;C11,Orders!$B$2:$B$1331,"&lt;="&amp;D11)</f>
        <v>117748.9</v>
      </c>
      <c r="G11" s="10" t="n">
        <f aca="false">IFERROR(F11/E11,0)</f>
        <v>0.989486554621849</v>
      </c>
      <c r="H11" s="14" t="n">
        <f aca="false">F11-E11</f>
        <v>-1251.10000000001</v>
      </c>
    </row>
    <row r="12" customFormat="false" ht="15" hidden="false" customHeight="false" outlineLevel="0" collapsed="false">
      <c r="A12" s="2" t="s">
        <v>47</v>
      </c>
      <c r="B12" s="2" t="s">
        <v>1412</v>
      </c>
      <c r="C12" s="11" t="n">
        <v>46023</v>
      </c>
      <c r="D12" s="11" t="n">
        <v>46112</v>
      </c>
      <c r="E12" s="12" t="n">
        <v>48000</v>
      </c>
      <c r="F12" s="13" t="n">
        <f aca="false">SUMIFS(Orders!$K$2:$K$1331,Orders!$C$2:$C$1331,A12,Orders!$B$2:$B$1331,"&gt;="&amp;C12,Orders!$B$2:$B$1331,"&lt;="&amp;D12)</f>
        <v>49567.75</v>
      </c>
      <c r="G12" s="10" t="n">
        <f aca="false">IFERROR(F12/E12,0)</f>
        <v>1.03266145833333</v>
      </c>
      <c r="H12" s="14" t="n">
        <f aca="false">F12-E12</f>
        <v>1567.75</v>
      </c>
    </row>
    <row r="13" customFormat="false" ht="15" hidden="false" customHeight="false" outlineLevel="0" collapsed="false">
      <c r="A13" s="2" t="s">
        <v>47</v>
      </c>
      <c r="B13" s="2" t="s">
        <v>1413</v>
      </c>
      <c r="C13" s="11" t="n">
        <v>46113</v>
      </c>
      <c r="D13" s="11" t="n">
        <v>46203</v>
      </c>
      <c r="E13" s="12" t="n">
        <v>70500</v>
      </c>
      <c r="F13" s="13" t="n">
        <f aca="false">SUMIFS(Orders!$K$2:$K$1331,Orders!$C$2:$C$1331,A13,Orders!$B$2:$B$1331,"&gt;="&amp;C13,Orders!$B$2:$B$1331,"&lt;="&amp;D13)</f>
        <v>73286.9</v>
      </c>
      <c r="G13" s="10" t="n">
        <f aca="false">IFERROR(F13/E13,0)</f>
        <v>1.0395304964539</v>
      </c>
      <c r="H13" s="14" t="n">
        <f aca="false">F13-E13</f>
        <v>2786.89999999999</v>
      </c>
    </row>
    <row r="14" customFormat="false" ht="15" hidden="false" customHeight="false" outlineLevel="0" collapsed="false">
      <c r="A14" s="2" t="s">
        <v>41</v>
      </c>
      <c r="B14" s="2" t="s">
        <v>1408</v>
      </c>
      <c r="C14" s="11" t="n">
        <v>45658</v>
      </c>
      <c r="D14" s="11" t="n">
        <v>45747</v>
      </c>
      <c r="E14" s="12" t="n">
        <v>44500</v>
      </c>
      <c r="F14" s="13" t="n">
        <f aca="false">SUMIFS(Orders!$K$2:$K$1331,Orders!$C$2:$C$1331,A14,Orders!$B$2:$B$1331,"&gt;="&amp;C14,Orders!$B$2:$B$1331,"&lt;="&amp;D14)</f>
        <v>42595.75</v>
      </c>
      <c r="G14" s="10" t="n">
        <f aca="false">IFERROR(F14/E14,0)</f>
        <v>0.957207865168539</v>
      </c>
      <c r="H14" s="14" t="n">
        <f aca="false">F14-E14</f>
        <v>-1904.25</v>
      </c>
    </row>
    <row r="15" customFormat="false" ht="15" hidden="false" customHeight="false" outlineLevel="0" collapsed="false">
      <c r="A15" s="2" t="s">
        <v>41</v>
      </c>
      <c r="B15" s="2" t="s">
        <v>1409</v>
      </c>
      <c r="C15" s="11" t="n">
        <v>45748</v>
      </c>
      <c r="D15" s="11" t="n">
        <v>45838</v>
      </c>
      <c r="E15" s="12" t="n">
        <v>40000</v>
      </c>
      <c r="F15" s="13" t="n">
        <f aca="false">SUMIFS(Orders!$K$2:$K$1331,Orders!$C$2:$C$1331,A15,Orders!$B$2:$B$1331,"&gt;="&amp;C15,Orders!$B$2:$B$1331,"&lt;="&amp;D15)</f>
        <v>42255.25</v>
      </c>
      <c r="G15" s="10" t="n">
        <f aca="false">IFERROR(F15/E15,0)</f>
        <v>1.05638125</v>
      </c>
      <c r="H15" s="14" t="n">
        <f aca="false">F15-E15</f>
        <v>2255.25</v>
      </c>
    </row>
    <row r="16" customFormat="false" ht="15" hidden="false" customHeight="false" outlineLevel="0" collapsed="false">
      <c r="A16" s="2" t="s">
        <v>41</v>
      </c>
      <c r="B16" s="2" t="s">
        <v>1410</v>
      </c>
      <c r="C16" s="11" t="n">
        <v>45839</v>
      </c>
      <c r="D16" s="11" t="n">
        <v>45930</v>
      </c>
      <c r="E16" s="12" t="n">
        <v>54000</v>
      </c>
      <c r="F16" s="13" t="n">
        <f aca="false">SUMIFS(Orders!$K$2:$K$1331,Orders!$C$2:$C$1331,A16,Orders!$B$2:$B$1331,"&gt;="&amp;C16,Orders!$B$2:$B$1331,"&lt;="&amp;D16)</f>
        <v>58210.95</v>
      </c>
      <c r="G16" s="10" t="n">
        <f aca="false">IFERROR(F16/E16,0)</f>
        <v>1.07798055555556</v>
      </c>
      <c r="H16" s="14" t="n">
        <f aca="false">F16-E16</f>
        <v>4210.95</v>
      </c>
    </row>
    <row r="17" customFormat="false" ht="15" hidden="false" customHeight="false" outlineLevel="0" collapsed="false">
      <c r="A17" s="2" t="s">
        <v>41</v>
      </c>
      <c r="B17" s="2" t="s">
        <v>1411</v>
      </c>
      <c r="C17" s="11" t="n">
        <v>45931</v>
      </c>
      <c r="D17" s="11" t="n">
        <v>46022</v>
      </c>
      <c r="E17" s="12" t="n">
        <v>56500</v>
      </c>
      <c r="F17" s="13" t="n">
        <f aca="false">SUMIFS(Orders!$K$2:$K$1331,Orders!$C$2:$C$1331,A17,Orders!$B$2:$B$1331,"&gt;="&amp;C17,Orders!$B$2:$B$1331,"&lt;="&amp;D17)</f>
        <v>58875.95</v>
      </c>
      <c r="G17" s="10" t="n">
        <f aca="false">IFERROR(F17/E17,0)</f>
        <v>1.04205221238938</v>
      </c>
      <c r="H17" s="14" t="n">
        <f aca="false">F17-E17</f>
        <v>2375.95</v>
      </c>
    </row>
    <row r="18" customFormat="false" ht="15" hidden="false" customHeight="false" outlineLevel="0" collapsed="false">
      <c r="A18" s="2" t="s">
        <v>41</v>
      </c>
      <c r="B18" s="2" t="s">
        <v>1412</v>
      </c>
      <c r="C18" s="11" t="n">
        <v>46023</v>
      </c>
      <c r="D18" s="11" t="n">
        <v>46112</v>
      </c>
      <c r="E18" s="12" t="n">
        <v>35000</v>
      </c>
      <c r="F18" s="13" t="n">
        <f aca="false">SUMIFS(Orders!$K$2:$K$1331,Orders!$C$2:$C$1331,A18,Orders!$B$2:$B$1331,"&gt;="&amp;C18,Orders!$B$2:$B$1331,"&lt;="&amp;D18)</f>
        <v>33654.75</v>
      </c>
      <c r="G18" s="10" t="n">
        <f aca="false">IFERROR(F18/E18,0)</f>
        <v>0.961564285714286</v>
      </c>
      <c r="H18" s="14" t="n">
        <f aca="false">F18-E18</f>
        <v>-1345.25</v>
      </c>
    </row>
    <row r="19" customFormat="false" ht="15" hidden="false" customHeight="false" outlineLevel="0" collapsed="false">
      <c r="A19" s="2" t="s">
        <v>41</v>
      </c>
      <c r="B19" s="2" t="s">
        <v>1413</v>
      </c>
      <c r="C19" s="11" t="n">
        <v>46113</v>
      </c>
      <c r="D19" s="11" t="n">
        <v>46203</v>
      </c>
      <c r="E19" s="12" t="n">
        <v>51500</v>
      </c>
      <c r="F19" s="13" t="n">
        <f aca="false">SUMIFS(Orders!$K$2:$K$1331,Orders!$C$2:$C$1331,A19,Orders!$B$2:$B$1331,"&gt;="&amp;C19,Orders!$B$2:$B$1331,"&lt;="&amp;D19)</f>
        <v>51042.9</v>
      </c>
      <c r="G19" s="10" t="n">
        <f aca="false">IFERROR(F19/E19,0)</f>
        <v>0.99112427184466</v>
      </c>
      <c r="H19" s="14" t="n">
        <f aca="false">F19-E19</f>
        <v>-457.099999999999</v>
      </c>
    </row>
    <row r="20" customFormat="false" ht="15" hidden="false" customHeight="false" outlineLevel="0" collapsed="false">
      <c r="A20" s="2" t="s">
        <v>30</v>
      </c>
      <c r="B20" s="2" t="s">
        <v>1408</v>
      </c>
      <c r="C20" s="11" t="n">
        <v>45658</v>
      </c>
      <c r="D20" s="11" t="n">
        <v>45747</v>
      </c>
      <c r="E20" s="12" t="n">
        <v>21500</v>
      </c>
      <c r="F20" s="13" t="n">
        <f aca="false">SUMIFS(Orders!$K$2:$K$1331,Orders!$C$2:$C$1331,A20,Orders!$B$2:$B$1331,"&gt;="&amp;C20,Orders!$B$2:$B$1331,"&lt;="&amp;D20)</f>
        <v>24817.5</v>
      </c>
      <c r="G20" s="10" t="n">
        <f aca="false">IFERROR(F20/E20,0)</f>
        <v>1.1543023255814</v>
      </c>
      <c r="H20" s="14" t="n">
        <f aca="false">F20-E20</f>
        <v>3317.5</v>
      </c>
    </row>
    <row r="21" customFormat="false" ht="15" hidden="false" customHeight="false" outlineLevel="0" collapsed="false">
      <c r="A21" s="2" t="s">
        <v>30</v>
      </c>
      <c r="B21" s="2" t="s">
        <v>1409</v>
      </c>
      <c r="C21" s="11" t="n">
        <v>45748</v>
      </c>
      <c r="D21" s="11" t="n">
        <v>45838</v>
      </c>
      <c r="E21" s="12" t="n">
        <v>41000</v>
      </c>
      <c r="F21" s="13" t="n">
        <f aca="false">SUMIFS(Orders!$K$2:$K$1331,Orders!$C$2:$C$1331,A21,Orders!$B$2:$B$1331,"&gt;="&amp;C21,Orders!$B$2:$B$1331,"&lt;="&amp;D21)</f>
        <v>49941.7</v>
      </c>
      <c r="G21" s="10" t="n">
        <f aca="false">IFERROR(F21/E21,0)</f>
        <v>1.21809024390244</v>
      </c>
      <c r="H21" s="14" t="n">
        <f aca="false">F21-E21</f>
        <v>8941.7</v>
      </c>
    </row>
    <row r="22" customFormat="false" ht="15" hidden="false" customHeight="false" outlineLevel="0" collapsed="false">
      <c r="A22" s="2" t="s">
        <v>30</v>
      </c>
      <c r="B22" s="2" t="s">
        <v>1410</v>
      </c>
      <c r="C22" s="11" t="n">
        <v>45839</v>
      </c>
      <c r="D22" s="11" t="n">
        <v>45930</v>
      </c>
      <c r="E22" s="12" t="n">
        <v>12000</v>
      </c>
      <c r="F22" s="13" t="n">
        <f aca="false">SUMIFS(Orders!$K$2:$K$1331,Orders!$C$2:$C$1331,A22,Orders!$B$2:$B$1331,"&gt;="&amp;C22,Orders!$B$2:$B$1331,"&lt;="&amp;D22)</f>
        <v>14112.75</v>
      </c>
      <c r="G22" s="10" t="n">
        <f aca="false">IFERROR(F22/E22,0)</f>
        <v>1.1760625</v>
      </c>
      <c r="H22" s="14" t="n">
        <f aca="false">F22-E22</f>
        <v>2112.75</v>
      </c>
    </row>
    <row r="23" customFormat="false" ht="15" hidden="false" customHeight="false" outlineLevel="0" collapsed="false">
      <c r="A23" s="2" t="s">
        <v>30</v>
      </c>
      <c r="B23" s="2" t="s">
        <v>1411</v>
      </c>
      <c r="C23" s="11" t="n">
        <v>45931</v>
      </c>
      <c r="D23" s="11" t="n">
        <v>46022</v>
      </c>
      <c r="E23" s="12" t="n">
        <v>39500</v>
      </c>
      <c r="F23" s="13" t="n">
        <f aca="false">SUMIFS(Orders!$K$2:$K$1331,Orders!$C$2:$C$1331,A23,Orders!$B$2:$B$1331,"&gt;="&amp;C23,Orders!$B$2:$B$1331,"&lt;="&amp;D23)</f>
        <v>43045.05</v>
      </c>
      <c r="G23" s="10" t="n">
        <f aca="false">IFERROR(F23/E23,0)</f>
        <v>1.08974810126582</v>
      </c>
      <c r="H23" s="14" t="n">
        <f aca="false">F23-E23</f>
        <v>3545.05</v>
      </c>
    </row>
    <row r="24" customFormat="false" ht="15" hidden="false" customHeight="false" outlineLevel="0" collapsed="false">
      <c r="A24" s="2" t="s">
        <v>30</v>
      </c>
      <c r="B24" s="2" t="s">
        <v>1412</v>
      </c>
      <c r="C24" s="11" t="n">
        <v>46023</v>
      </c>
      <c r="D24" s="11" t="n">
        <v>46112</v>
      </c>
      <c r="E24" s="12" t="n">
        <v>51500</v>
      </c>
      <c r="F24" s="13" t="n">
        <f aca="false">SUMIFS(Orders!$K$2:$K$1331,Orders!$C$2:$C$1331,A24,Orders!$B$2:$B$1331,"&gt;="&amp;C24,Orders!$B$2:$B$1331,"&lt;="&amp;D24)</f>
        <v>55118.5</v>
      </c>
      <c r="G24" s="10" t="n">
        <f aca="false">IFERROR(F24/E24,0)</f>
        <v>1.07026213592233</v>
      </c>
      <c r="H24" s="14" t="n">
        <f aca="false">F24-E24</f>
        <v>3618.5</v>
      </c>
    </row>
    <row r="25" customFormat="false" ht="15" hidden="false" customHeight="false" outlineLevel="0" collapsed="false">
      <c r="A25" s="2" t="s">
        <v>30</v>
      </c>
      <c r="B25" s="2" t="s">
        <v>1413</v>
      </c>
      <c r="C25" s="11" t="n">
        <v>46113</v>
      </c>
      <c r="D25" s="11" t="n">
        <v>46203</v>
      </c>
      <c r="E25" s="12" t="n">
        <v>16000</v>
      </c>
      <c r="F25" s="13" t="n">
        <f aca="false">SUMIFS(Orders!$K$2:$K$1331,Orders!$C$2:$C$1331,A25,Orders!$B$2:$B$1331,"&gt;="&amp;C25,Orders!$B$2:$B$1331,"&lt;="&amp;D25)</f>
        <v>18062.35</v>
      </c>
      <c r="G25" s="10" t="n">
        <f aca="false">IFERROR(F25/E25,0)</f>
        <v>1.128896875</v>
      </c>
      <c r="H25" s="14" t="n">
        <f aca="false">F25-E25</f>
        <v>2062.35</v>
      </c>
    </row>
    <row r="26" customFormat="false" ht="15" hidden="false" customHeight="false" outlineLevel="0" collapsed="false">
      <c r="A26" s="2" t="s">
        <v>59</v>
      </c>
      <c r="B26" s="2" t="s">
        <v>1408</v>
      </c>
      <c r="C26" s="11" t="n">
        <v>45658</v>
      </c>
      <c r="D26" s="11" t="n">
        <v>45747</v>
      </c>
      <c r="E26" s="12" t="n">
        <v>8500</v>
      </c>
      <c r="F26" s="13" t="n">
        <f aca="false">SUMIFS(Orders!$K$2:$K$1331,Orders!$C$2:$C$1331,A26,Orders!$B$2:$B$1331,"&gt;="&amp;C26,Orders!$B$2:$B$1331,"&lt;="&amp;D26)</f>
        <v>8750.9</v>
      </c>
      <c r="G26" s="10" t="n">
        <f aca="false">IFERROR(F26/E26,0)</f>
        <v>1.02951764705882</v>
      </c>
      <c r="H26" s="14" t="n">
        <f aca="false">F26-E26</f>
        <v>250.9</v>
      </c>
    </row>
    <row r="27" customFormat="false" ht="15" hidden="false" customHeight="false" outlineLevel="0" collapsed="false">
      <c r="A27" s="2" t="s">
        <v>59</v>
      </c>
      <c r="B27" s="2" t="s">
        <v>1409</v>
      </c>
      <c r="C27" s="11" t="n">
        <v>45748</v>
      </c>
      <c r="D27" s="11" t="n">
        <v>45838</v>
      </c>
      <c r="E27" s="12" t="n">
        <v>26500</v>
      </c>
      <c r="F27" s="13" t="n">
        <f aca="false">SUMIFS(Orders!$K$2:$K$1331,Orders!$C$2:$C$1331,A27,Orders!$B$2:$B$1331,"&gt;="&amp;C27,Orders!$B$2:$B$1331,"&lt;="&amp;D27)</f>
        <v>25428.25</v>
      </c>
      <c r="G27" s="10" t="n">
        <f aca="false">IFERROR(F27/E27,0)</f>
        <v>0.959556603773585</v>
      </c>
      <c r="H27" s="14" t="n">
        <f aca="false">F27-E27</f>
        <v>-1071.75</v>
      </c>
    </row>
    <row r="28" customFormat="false" ht="15" hidden="false" customHeight="false" outlineLevel="0" collapsed="false">
      <c r="A28" s="2" t="s">
        <v>59</v>
      </c>
      <c r="B28" s="2" t="s">
        <v>1410</v>
      </c>
      <c r="C28" s="11" t="n">
        <v>45839</v>
      </c>
      <c r="D28" s="11" t="n">
        <v>45930</v>
      </c>
      <c r="E28" s="12" t="n">
        <v>22000</v>
      </c>
      <c r="F28" s="13" t="n">
        <f aca="false">SUMIFS(Orders!$K$2:$K$1331,Orders!$C$2:$C$1331,A28,Orders!$B$2:$B$1331,"&gt;="&amp;C28,Orders!$B$2:$B$1331,"&lt;="&amp;D28)</f>
        <v>21589.75</v>
      </c>
      <c r="G28" s="10" t="n">
        <f aca="false">IFERROR(F28/E28,0)</f>
        <v>0.981352272727273</v>
      </c>
      <c r="H28" s="14" t="n">
        <f aca="false">F28-E28</f>
        <v>-410.25</v>
      </c>
    </row>
    <row r="29" customFormat="false" ht="15" hidden="false" customHeight="false" outlineLevel="0" collapsed="false">
      <c r="A29" s="2" t="s">
        <v>59</v>
      </c>
      <c r="B29" s="2" t="s">
        <v>1411</v>
      </c>
      <c r="C29" s="11" t="n">
        <v>45931</v>
      </c>
      <c r="D29" s="11" t="n">
        <v>46022</v>
      </c>
      <c r="E29" s="12" t="n">
        <v>19500</v>
      </c>
      <c r="F29" s="13" t="n">
        <f aca="false">SUMIFS(Orders!$K$2:$K$1331,Orders!$C$2:$C$1331,A29,Orders!$B$2:$B$1331,"&gt;="&amp;C29,Orders!$B$2:$B$1331,"&lt;="&amp;D29)</f>
        <v>18816.35</v>
      </c>
      <c r="G29" s="10" t="n">
        <f aca="false">IFERROR(F29/E29,0)</f>
        <v>0.964941025641026</v>
      </c>
      <c r="H29" s="14" t="n">
        <f aca="false">F29-E29</f>
        <v>-683.650000000002</v>
      </c>
    </row>
    <row r="30" customFormat="false" ht="15" hidden="false" customHeight="false" outlineLevel="0" collapsed="false">
      <c r="A30" s="2" t="s">
        <v>59</v>
      </c>
      <c r="B30" s="2" t="s">
        <v>1412</v>
      </c>
      <c r="C30" s="11" t="n">
        <v>46023</v>
      </c>
      <c r="D30" s="11" t="n">
        <v>46112</v>
      </c>
      <c r="E30" s="12" t="n">
        <v>25500</v>
      </c>
      <c r="F30" s="13" t="n">
        <f aca="false">SUMIFS(Orders!$K$2:$K$1331,Orders!$C$2:$C$1331,A30,Orders!$B$2:$B$1331,"&gt;="&amp;C30,Orders!$B$2:$B$1331,"&lt;="&amp;D30)</f>
        <v>25343.5</v>
      </c>
      <c r="G30" s="10" t="n">
        <f aca="false">IFERROR(F30/E30,0)</f>
        <v>0.993862745098039</v>
      </c>
      <c r="H30" s="14" t="n">
        <f aca="false">F30-E30</f>
        <v>-156.5</v>
      </c>
    </row>
    <row r="31" customFormat="false" ht="15" hidden="false" customHeight="false" outlineLevel="0" collapsed="false">
      <c r="A31" s="2" t="s">
        <v>59</v>
      </c>
      <c r="B31" s="2" t="s">
        <v>1413</v>
      </c>
      <c r="C31" s="11" t="n">
        <v>46113</v>
      </c>
      <c r="D31" s="11" t="n">
        <v>46203</v>
      </c>
      <c r="E31" s="12" t="n">
        <v>27000</v>
      </c>
      <c r="F31" s="13" t="n">
        <f aca="false">SUMIFS(Orders!$K$2:$K$1331,Orders!$C$2:$C$1331,A31,Orders!$B$2:$B$1331,"&gt;="&amp;C31,Orders!$B$2:$B$1331,"&lt;="&amp;D31)</f>
        <v>26787.85</v>
      </c>
      <c r="G31" s="10" t="n">
        <f aca="false">IFERROR(F31/E31,0)</f>
        <v>0.992142592592593</v>
      </c>
      <c r="H31" s="14" t="n">
        <f aca="false">F31-E31</f>
        <v>-212.150000000001</v>
      </c>
    </row>
  </sheetData>
  <autoFilter ref="A1:H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5" t="s">
        <v>1414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1415</v>
      </c>
    </row>
    <row r="4" customFormat="false" ht="15" hidden="false" customHeight="false" outlineLevel="0" collapsed="false">
      <c r="A4" s="2" t="s">
        <v>1416</v>
      </c>
    </row>
    <row r="5" customFormat="false" ht="15" hidden="false" customHeight="false" outlineLevel="0" collapsed="false">
      <c r="A5" s="2" t="s">
        <v>1417</v>
      </c>
    </row>
    <row r="6" customFormat="false" ht="15" hidden="false" customHeight="false" outlineLevel="0" collapsed="false">
      <c r="A6" s="2" t="s">
        <v>1418</v>
      </c>
    </row>
    <row r="7" customFormat="false" ht="15" hidden="false" customHeight="false" outlineLevel="0" collapsed="false">
      <c r="A7" s="2" t="s">
        <v>1419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6" t="s">
        <v>1420</v>
      </c>
    </row>
    <row r="10" customFormat="false" ht="15" hidden="false" customHeight="false" outlineLevel="0" collapsed="false">
      <c r="A10" s="2" t="s">
        <v>1421</v>
      </c>
    </row>
    <row r="11" customFormat="false" ht="15" hidden="false" customHeight="false" outlineLevel="0" collapsed="false">
      <c r="A11" s="2" t="s">
        <v>1422</v>
      </c>
    </row>
    <row r="12" customFormat="false" ht="15" hidden="false" customHeight="false" outlineLevel="0" collapsed="false">
      <c r="A12" s="2" t="s">
        <v>1423</v>
      </c>
    </row>
    <row r="13" customFormat="false" ht="15" hidden="false" customHeight="false" outlineLevel="0" collapsed="false">
      <c r="A13" s="2" t="s">
        <v>1424</v>
      </c>
    </row>
    <row r="14" customFormat="false" ht="15" hidden="false" customHeight="false" outlineLevel="0" collapsed="false">
      <c r="A14" s="2" t="s">
        <v>1425</v>
      </c>
    </row>
    <row r="15" customFormat="false" ht="15" hidden="false" customHeight="false" outlineLevel="0" collapsed="false">
      <c r="A15" s="2" t="s">
        <v>1426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2026-10-12T13:19:50Z</dcterms:created>
  <dc:creator>openpyxl</dc:creator>
  <dc:description/>
  <dc:language>en-US</dc:language>
  <cp:lastModifiedBy/>
  <dcterms:modified xsi:type="dcterms:W3CDTF">2026-10-12T13:19:50Z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